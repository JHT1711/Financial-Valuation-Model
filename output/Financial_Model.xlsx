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khush/Downloads/"/>
    </mc:Choice>
  </mc:AlternateContent>
  <xr:revisionPtr revIDLastSave="0" documentId="13_ncr:1_{DBCD82F6-0FED-7846-8486-0FACDFCA1676}" xr6:coauthVersionLast="47" xr6:coauthVersionMax="47" xr10:uidLastSave="{00000000-0000-0000-0000-000000000000}"/>
  <bookViews>
    <workbookView xWindow="10280" yWindow="480" windowWidth="18520" windowHeight="17520" xr2:uid="{D33CF1C1-44EA-C649-BD48-D77E50114FF6}"/>
  </bookViews>
  <sheets>
    <sheet name="Assumptions" sheetId="1" r:id="rId1"/>
    <sheet name="Income Statement" sheetId="2" r:id="rId2"/>
    <sheet name="Balance Sheet" sheetId="3" r:id="rId3"/>
    <sheet name="Cash Flow" sheetId="4" r:id="rId4"/>
    <sheet name="DCF Valuation" sheetId="5" r:id="rId5"/>
    <sheet name="Ratios" sheetId="6" r:id="rId6"/>
    <sheet name="Scenario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B19" i="5" s="1"/>
  <c r="F15" i="1"/>
  <c r="F13" i="5" s="1"/>
  <c r="F15" i="5" s="1"/>
  <c r="F12" i="1"/>
  <c r="F11" i="1"/>
  <c r="F10" i="1"/>
  <c r="F7" i="1"/>
  <c r="B3" i="2" s="1"/>
  <c r="F6" i="1"/>
  <c r="F3" i="1"/>
  <c r="D10" i="7"/>
  <c r="D9" i="7"/>
  <c r="D8" i="7"/>
  <c r="D7" i="7"/>
  <c r="D6" i="7"/>
  <c r="C10" i="7"/>
  <c r="C9" i="7"/>
  <c r="C8" i="7"/>
  <c r="C7" i="7"/>
  <c r="C6" i="7"/>
  <c r="B10" i="7"/>
  <c r="B9" i="7"/>
  <c r="B8" i="7"/>
  <c r="B7" i="7"/>
  <c r="B6" i="7"/>
  <c r="B27" i="5"/>
  <c r="F8" i="5"/>
  <c r="F7" i="5"/>
  <c r="E8" i="5"/>
  <c r="E7" i="5"/>
  <c r="D8" i="5"/>
  <c r="D7" i="5"/>
  <c r="C8" i="5"/>
  <c r="C7" i="5"/>
  <c r="B8" i="5"/>
  <c r="B7" i="5"/>
  <c r="F17" i="4"/>
  <c r="F16" i="4"/>
  <c r="F18" i="4" s="1"/>
  <c r="F12" i="4"/>
  <c r="F13" i="4" s="1"/>
  <c r="F5" i="4"/>
  <c r="E17" i="4"/>
  <c r="E16" i="4"/>
  <c r="E18" i="4" s="1"/>
  <c r="E12" i="4"/>
  <c r="E13" i="4" s="1"/>
  <c r="E5" i="4"/>
  <c r="D17" i="4"/>
  <c r="D16" i="4"/>
  <c r="D18" i="4" s="1"/>
  <c r="D12" i="4"/>
  <c r="D13" i="4" s="1"/>
  <c r="D5" i="4"/>
  <c r="C17" i="4"/>
  <c r="C16" i="4"/>
  <c r="C18" i="4" s="1"/>
  <c r="C12" i="4"/>
  <c r="C13" i="4" s="1"/>
  <c r="C5" i="4"/>
  <c r="B21" i="4"/>
  <c r="B18" i="4"/>
  <c r="B17" i="4"/>
  <c r="B16" i="4"/>
  <c r="B13" i="4"/>
  <c r="B12" i="4"/>
  <c r="B5" i="4"/>
  <c r="G20" i="3"/>
  <c r="G17" i="3"/>
  <c r="G10" i="3"/>
  <c r="G9" i="3"/>
  <c r="G11" i="3" s="1"/>
  <c r="F20" i="3"/>
  <c r="F17" i="3"/>
  <c r="F10" i="3"/>
  <c r="F9" i="3"/>
  <c r="F11" i="3" s="1"/>
  <c r="E20" i="3"/>
  <c r="E17" i="3"/>
  <c r="E10" i="3"/>
  <c r="E9" i="3"/>
  <c r="E11" i="3" s="1"/>
  <c r="D20" i="3"/>
  <c r="D17" i="3"/>
  <c r="D10" i="3"/>
  <c r="D9" i="3"/>
  <c r="D11" i="3" s="1"/>
  <c r="C10" i="3"/>
  <c r="C9" i="3"/>
  <c r="C20" i="3"/>
  <c r="C17" i="3"/>
  <c r="C11" i="3"/>
  <c r="B27" i="3"/>
  <c r="B25" i="3"/>
  <c r="B24" i="3"/>
  <c r="B21" i="3"/>
  <c r="B20" i="3"/>
  <c r="B18" i="3"/>
  <c r="B17" i="3"/>
  <c r="B13" i="3"/>
  <c r="B11" i="3"/>
  <c r="B9" i="3"/>
  <c r="B7" i="3"/>
  <c r="B4" i="3"/>
  <c r="B13" i="5" l="1"/>
  <c r="B15" i="5" s="1"/>
  <c r="C5" i="3"/>
  <c r="B6" i="4" s="1"/>
  <c r="B7" i="2"/>
  <c r="B4" i="2"/>
  <c r="C16" i="3" s="1"/>
  <c r="B8" i="4" s="1"/>
  <c r="C13" i="5"/>
  <c r="C15" i="5" s="1"/>
  <c r="D13" i="5"/>
  <c r="D15" i="5" s="1"/>
  <c r="E13" i="5"/>
  <c r="E15" i="5" s="1"/>
  <c r="C3" i="2"/>
  <c r="D5" i="3" s="1"/>
  <c r="C6" i="4" s="1"/>
  <c r="D3" i="2" l="1"/>
  <c r="C4" i="2"/>
  <c r="C18" i="3"/>
  <c r="C21" i="3" s="1"/>
  <c r="C6" i="3"/>
  <c r="B5" i="2"/>
  <c r="C7" i="2"/>
  <c r="D7" i="2"/>
  <c r="E3" i="2"/>
  <c r="D6" i="3"/>
  <c r="D16" i="3"/>
  <c r="C5" i="2"/>
  <c r="D4" i="2" l="1"/>
  <c r="E5" i="3"/>
  <c r="D6" i="4" s="1"/>
  <c r="B8" i="2"/>
  <c r="B4" i="6"/>
  <c r="B7" i="4"/>
  <c r="B9" i="5"/>
  <c r="E7" i="2"/>
  <c r="F5" i="3"/>
  <c r="E4" i="2"/>
  <c r="E5" i="2"/>
  <c r="F3" i="2"/>
  <c r="E4" i="6"/>
  <c r="D18" i="3"/>
  <c r="D21" i="3" s="1"/>
  <c r="C8" i="4"/>
  <c r="C4" i="6"/>
  <c r="C8" i="2"/>
  <c r="C9" i="5"/>
  <c r="C7" i="4"/>
  <c r="E6" i="4" l="1"/>
  <c r="D5" i="2"/>
  <c r="E16" i="3"/>
  <c r="E6" i="3"/>
  <c r="B4" i="5"/>
  <c r="B11" i="2"/>
  <c r="B5" i="6"/>
  <c r="F4" i="2"/>
  <c r="F7" i="2"/>
  <c r="D13" i="7"/>
  <c r="B13" i="7"/>
  <c r="G5" i="3"/>
  <c r="C13" i="7"/>
  <c r="E8" i="2"/>
  <c r="E11" i="2" s="1"/>
  <c r="E13" i="2" s="1"/>
  <c r="E14" i="2" s="1"/>
  <c r="F16" i="3"/>
  <c r="F6" i="3"/>
  <c r="E7" i="4" s="1"/>
  <c r="C11" i="2"/>
  <c r="C13" i="2" s="1"/>
  <c r="C4" i="5"/>
  <c r="C5" i="6"/>
  <c r="D9" i="5" l="1"/>
  <c r="D7" i="4"/>
  <c r="E18" i="3"/>
  <c r="E21" i="3" s="1"/>
  <c r="D8" i="4"/>
  <c r="D4" i="6"/>
  <c r="D8" i="2"/>
  <c r="B13" i="2"/>
  <c r="B14" i="2" s="1"/>
  <c r="B5" i="5"/>
  <c r="B6" i="5"/>
  <c r="B10" i="5" s="1"/>
  <c r="B16" i="5" s="1"/>
  <c r="E5" i="6"/>
  <c r="E9" i="5"/>
  <c r="F18" i="3"/>
  <c r="F21" i="3" s="1"/>
  <c r="E8" i="4"/>
  <c r="G16" i="3"/>
  <c r="G6" i="3"/>
  <c r="F7" i="4" s="1"/>
  <c r="F5" i="2"/>
  <c r="E4" i="5"/>
  <c r="E5" i="5" s="1"/>
  <c r="E6" i="5" s="1"/>
  <c r="F6" i="4"/>
  <c r="C5" i="5"/>
  <c r="C6" i="5" s="1"/>
  <c r="C10" i="5" s="1"/>
  <c r="C16" i="5" s="1"/>
  <c r="C14" i="2"/>
  <c r="D11" i="2" l="1"/>
  <c r="D4" i="5"/>
  <c r="D5" i="5" s="1"/>
  <c r="D6" i="5" s="1"/>
  <c r="D10" i="5" s="1"/>
  <c r="D16" i="5" s="1"/>
  <c r="D5" i="6"/>
  <c r="E10" i="5"/>
  <c r="E16" i="5" s="1"/>
  <c r="B4" i="4"/>
  <c r="B9" i="4" s="1"/>
  <c r="B20" i="4" s="1"/>
  <c r="B22" i="4" s="1"/>
  <c r="B6" i="6"/>
  <c r="C24" i="3"/>
  <c r="C25" i="3" s="1"/>
  <c r="B17" i="6" s="1"/>
  <c r="C4" i="3"/>
  <c r="D4" i="3" s="1"/>
  <c r="G18" i="3"/>
  <c r="G21" i="3" s="1"/>
  <c r="F8" i="4"/>
  <c r="F9" i="5"/>
  <c r="F4" i="6"/>
  <c r="F8" i="2"/>
  <c r="E6" i="6"/>
  <c r="E4" i="4"/>
  <c r="E9" i="4" s="1"/>
  <c r="E20" i="4" s="1"/>
  <c r="C6" i="6"/>
  <c r="C4" i="4"/>
  <c r="C9" i="4" s="1"/>
  <c r="C20" i="4" s="1"/>
  <c r="D13" i="2" l="1"/>
  <c r="D14" i="2" s="1"/>
  <c r="D24" i="3"/>
  <c r="C27" i="3"/>
  <c r="B12" i="6"/>
  <c r="C7" i="3"/>
  <c r="C21" i="4"/>
  <c r="C22" i="4" s="1"/>
  <c r="F11" i="2"/>
  <c r="F13" i="2" s="1"/>
  <c r="F14" i="2" s="1"/>
  <c r="F5" i="6"/>
  <c r="F4" i="5"/>
  <c r="D7" i="3"/>
  <c r="D21" i="4"/>
  <c r="D25" i="3"/>
  <c r="D6" i="6" l="1"/>
  <c r="D4" i="4"/>
  <c r="D9" i="4" s="1"/>
  <c r="D20" i="4" s="1"/>
  <c r="E24" i="3"/>
  <c r="E25" i="3" s="1"/>
  <c r="E4" i="3"/>
  <c r="E7" i="3" s="1"/>
  <c r="D22" i="4"/>
  <c r="B9" i="6"/>
  <c r="C13" i="3"/>
  <c r="F5" i="5"/>
  <c r="F6" i="5" s="1"/>
  <c r="F10" i="5" s="1"/>
  <c r="D14" i="7"/>
  <c r="B14" i="7"/>
  <c r="F4" i="4"/>
  <c r="F9" i="4" s="1"/>
  <c r="F20" i="4" s="1"/>
  <c r="F6" i="6"/>
  <c r="C14" i="7"/>
  <c r="C12" i="6"/>
  <c r="D27" i="3"/>
  <c r="C17" i="6"/>
  <c r="D13" i="3"/>
  <c r="C9" i="6"/>
  <c r="F24" i="3" l="1"/>
  <c r="F4" i="3"/>
  <c r="E21" i="4"/>
  <c r="E22" i="4" s="1"/>
  <c r="B13" i="6"/>
  <c r="B16" i="6"/>
  <c r="F16" i="5"/>
  <c r="B24" i="5" s="1"/>
  <c r="B20" i="5"/>
  <c r="B21" i="5" s="1"/>
  <c r="B25" i="5" s="1"/>
  <c r="D9" i="6"/>
  <c r="E13" i="3"/>
  <c r="C13" i="6"/>
  <c r="C16" i="6"/>
  <c r="F7" i="3"/>
  <c r="F21" i="4"/>
  <c r="F22" i="4" s="1"/>
  <c r="G4" i="3"/>
  <c r="F25" i="3"/>
  <c r="G24" i="3"/>
  <c r="G25" i="3" s="1"/>
  <c r="D12" i="6"/>
  <c r="E27" i="3"/>
  <c r="D17" i="6"/>
  <c r="B26" i="5" l="1"/>
  <c r="F13" i="3"/>
  <c r="E9" i="6"/>
  <c r="G7" i="3"/>
  <c r="B28" i="5"/>
  <c r="D13" i="6"/>
  <c r="D16" i="6"/>
  <c r="E12" i="6"/>
  <c r="F27" i="3"/>
  <c r="E17" i="6"/>
  <c r="F12" i="6"/>
  <c r="G27" i="3"/>
  <c r="F17" i="6"/>
  <c r="B29" i="5" l="1"/>
  <c r="B16" i="7" s="1"/>
  <c r="C15" i="7"/>
  <c r="B15" i="7"/>
  <c r="D15" i="7"/>
  <c r="D16" i="7"/>
  <c r="F9" i="6"/>
  <c r="G13" i="3"/>
  <c r="E13" i="6"/>
  <c r="E16" i="6"/>
  <c r="C16" i="7" l="1"/>
  <c r="F13" i="6"/>
  <c r="F16" i="6"/>
</calcChain>
</file>

<file path=xl/sharedStrings.xml><?xml version="1.0" encoding="utf-8"?>
<sst xmlns="http://schemas.openxmlformats.org/spreadsheetml/2006/main" count="167" uniqueCount="131">
  <si>
    <t xml:space="preserve"> Base Case </t>
  </si>
  <si>
    <t>Bull Case</t>
  </si>
  <si>
    <t xml:space="preserve"> Bear Case</t>
  </si>
  <si>
    <t>Company Name</t>
  </si>
  <si>
    <t>Currency</t>
  </si>
  <si>
    <t>Revenue Assumptions</t>
  </si>
  <si>
    <t>Base Year Revenue</t>
  </si>
  <si>
    <t>Revenue Growth Rate</t>
  </si>
  <si>
    <t>Cost Assumptions</t>
  </si>
  <si>
    <t>COGS (% of Revenue)</t>
  </si>
  <si>
    <t>Operating Expenses (% of Revenue)</t>
  </si>
  <si>
    <t>Tax Rate</t>
  </si>
  <si>
    <t xml:space="preserve">Valuation Assumptions </t>
  </si>
  <si>
    <t>Discount Rate (WACC)</t>
  </si>
  <si>
    <t>Terminal Growth Rate</t>
  </si>
  <si>
    <t>Projection Years</t>
  </si>
  <si>
    <t>USD (in millions)</t>
  </si>
  <si>
    <t>Income Statement</t>
  </si>
  <si>
    <t>Year 5</t>
  </si>
  <si>
    <t>Year 4</t>
  </si>
  <si>
    <t>Year 3</t>
  </si>
  <si>
    <t>Year 2</t>
  </si>
  <si>
    <t>Year 1</t>
  </si>
  <si>
    <t>Gross Profit</t>
  </si>
  <si>
    <t>Revenue</t>
  </si>
  <si>
    <t>COGS</t>
  </si>
  <si>
    <t>Operating Expenses</t>
  </si>
  <si>
    <t>Operating Income</t>
  </si>
  <si>
    <t>Interest Expense</t>
  </si>
  <si>
    <t>Pre-Tax Income</t>
  </si>
  <si>
    <t>Taxes</t>
  </si>
  <si>
    <t>Net Income</t>
  </si>
  <si>
    <t>Balance Sheet</t>
  </si>
  <si>
    <t>ASSETS</t>
  </si>
  <si>
    <t>Cash</t>
  </si>
  <si>
    <t>Accounts Receivable</t>
  </si>
  <si>
    <t>Inventory</t>
  </si>
  <si>
    <t>Total Current Assets</t>
  </si>
  <si>
    <t>Property, Plant &amp; Equipment</t>
  </si>
  <si>
    <t>Less: Accumulated Depreciation</t>
  </si>
  <si>
    <t>Net PP&amp;E</t>
  </si>
  <si>
    <t>TOTAL ASSETS</t>
  </si>
  <si>
    <t>LIABILITIES</t>
  </si>
  <si>
    <t>Accounts Payable</t>
  </si>
  <si>
    <t>Short-Term Debt</t>
  </si>
  <si>
    <t>Total Current Liabilities</t>
  </si>
  <si>
    <t>Long-Term Debt</t>
  </si>
  <si>
    <t>Total Liabilities</t>
  </si>
  <si>
    <t>EQUITY</t>
  </si>
  <si>
    <t>Retained Earnings</t>
  </si>
  <si>
    <t>Total Equity</t>
  </si>
  <si>
    <t>TOTAL LIABILITIES &amp; EQUITY</t>
  </si>
  <si>
    <t>Year 0</t>
  </si>
  <si>
    <t>Balance Sheet Assumptions</t>
  </si>
  <si>
    <t>Starting Cash</t>
  </si>
  <si>
    <t>Accounts Receivable (% of Revenue)</t>
  </si>
  <si>
    <t>Inventory (% of COGS)</t>
  </si>
  <si>
    <t>Accounts Payable (% of COGS)</t>
  </si>
  <si>
    <t>Starting PP&amp;E</t>
  </si>
  <si>
    <t>Annual Depreciation</t>
  </si>
  <si>
    <t>Starting Short-Term Debt</t>
  </si>
  <si>
    <t>Starting Long-Term Debt</t>
  </si>
  <si>
    <t>Annual Capital Exependiture</t>
  </si>
  <si>
    <r>
      <t>Cash</t>
    </r>
    <r>
      <rPr>
        <sz val="11"/>
        <color theme="1"/>
        <rFont val="Arial"/>
        <family val="2"/>
      </rPr>
      <t xml:space="preserve"> = Previous cash + Net Income - Capex</t>
    </r>
  </si>
  <si>
    <r>
      <t>AR</t>
    </r>
    <r>
      <rPr>
        <sz val="11"/>
        <color theme="1"/>
        <rFont val="Arial"/>
        <family val="2"/>
      </rPr>
      <t xml:space="preserve"> = Revenue × AR% (from Assumptions)</t>
    </r>
  </si>
  <si>
    <r>
      <t>Inventory</t>
    </r>
    <r>
      <rPr>
        <sz val="11"/>
        <color theme="1"/>
        <rFont val="Arial"/>
        <family val="2"/>
      </rPr>
      <t xml:space="preserve"> = COGS × Inventory% (from Assumptions)</t>
    </r>
  </si>
  <si>
    <r>
      <t>PP&amp;E</t>
    </r>
    <r>
      <rPr>
        <sz val="11"/>
        <color theme="1"/>
        <rFont val="Arial"/>
        <family val="2"/>
      </rPr>
      <t xml:space="preserve"> = Previous + Capex</t>
    </r>
  </si>
  <si>
    <r>
      <t>Accum Depr</t>
    </r>
    <r>
      <rPr>
        <sz val="11"/>
        <color theme="1"/>
        <rFont val="Arial"/>
        <family val="2"/>
      </rPr>
      <t xml:space="preserve"> = Previous + Depreciation</t>
    </r>
  </si>
  <si>
    <r>
      <t>AP</t>
    </r>
    <r>
      <rPr>
        <sz val="11"/>
        <color theme="1"/>
        <rFont val="Arial"/>
        <family val="2"/>
      </rPr>
      <t xml:space="preserve"> = COGS × AP% (from Assumptions)</t>
    </r>
  </si>
  <si>
    <r>
      <t>Retained Earnings</t>
    </r>
    <r>
      <rPr>
        <sz val="11"/>
        <color theme="1"/>
        <rFont val="Arial"/>
        <family val="2"/>
      </rPr>
      <t xml:space="preserve"> = Previous + Net Income</t>
    </r>
  </si>
  <si>
    <t>Cash Flow Statement</t>
  </si>
  <si>
    <t>OPERATING ACTIVITIES</t>
  </si>
  <si>
    <t>Add: Depreciation</t>
  </si>
  <si>
    <t>(Increase)/Decrease in Accounts Receivable</t>
  </si>
  <si>
    <t>(Increase)/Decrease in Inventory</t>
  </si>
  <si>
    <t>Increase/(Decrease) in Accounts Payable</t>
  </si>
  <si>
    <t>Cash from Operations</t>
  </si>
  <si>
    <t>INVESTING ACTIVITIES</t>
  </si>
  <si>
    <t>Capital Expenditures (Capex)</t>
  </si>
  <si>
    <t>Cash from Investing</t>
  </si>
  <si>
    <t>FINANCING ACTIVITIES</t>
  </si>
  <si>
    <t>Change in Short-Term Debt</t>
  </si>
  <si>
    <t>Change in Long-Term Debt</t>
  </si>
  <si>
    <t>Cash from Financing</t>
  </si>
  <si>
    <t>Net Change in Cash</t>
  </si>
  <si>
    <t>Beginning Cash</t>
  </si>
  <si>
    <t>Ending Cash</t>
  </si>
  <si>
    <t>DCF Valuation</t>
  </si>
  <si>
    <t>Free Cash Flow Calculation</t>
  </si>
  <si>
    <t>Operating Income (EBIT)</t>
  </si>
  <si>
    <t>Less: Taxes</t>
  </si>
  <si>
    <t>EBIAT (EBIT After Tax)</t>
  </si>
  <si>
    <t>Less: Capex</t>
  </si>
  <si>
    <t>Less: Change in Working Capital</t>
  </si>
  <si>
    <t>Free Cash Flow (FCF)</t>
  </si>
  <si>
    <t>Discounting</t>
  </si>
  <si>
    <t>Discount Period</t>
  </si>
  <si>
    <t>Discount Factor</t>
  </si>
  <si>
    <t>Present Value of FCF</t>
  </si>
  <si>
    <t>Terminal Value</t>
  </si>
  <si>
    <t>PV of Terminal Value</t>
  </si>
  <si>
    <t>Valuation Summary</t>
  </si>
  <si>
    <t>Sum of PV of FCFs</t>
  </si>
  <si>
    <t>Enterprise Value</t>
  </si>
  <si>
    <t>Less: Debt</t>
  </si>
  <si>
    <t>Add: Cash</t>
  </si>
  <si>
    <t>Equity Value</t>
  </si>
  <si>
    <t>Financial Ratios</t>
  </si>
  <si>
    <t>Profitability Ratios</t>
  </si>
  <si>
    <t>Gross Margin</t>
  </si>
  <si>
    <t>Operating Margin</t>
  </si>
  <si>
    <t>Net Profit Margin</t>
  </si>
  <si>
    <t>Liquidity Ratios</t>
  </si>
  <si>
    <t>Current Ratio</t>
  </si>
  <si>
    <t>Leverage Ratios</t>
  </si>
  <si>
    <t>Debt-to-Equity</t>
  </si>
  <si>
    <t>Debt-to-Assets</t>
  </si>
  <si>
    <t>Return on Equity (ROE)</t>
  </si>
  <si>
    <t>Return on Assets (ROA)</t>
  </si>
  <si>
    <t>Return Ratios</t>
  </si>
  <si>
    <t>Assumptions</t>
  </si>
  <si>
    <t>Blue Co Digital</t>
  </si>
  <si>
    <t>Scenario Analysis</t>
  </si>
  <si>
    <t>Select Scenario:</t>
  </si>
  <si>
    <t>Key Assumptions</t>
  </si>
  <si>
    <t>Valuation Output</t>
  </si>
  <si>
    <t>Year 5 Revenue</t>
  </si>
  <si>
    <t>Year 5 Net Income</t>
  </si>
  <si>
    <t>Scenario (1=Base, 2=Bull, 3=Bear):</t>
  </si>
  <si>
    <t xml:space="preserve">Actvie Scenario 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</si>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</sst>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4"/>
      <color theme="1"/>
      <name val="Arial"/>
      <family val="2"/>
    </font>
    <font>
      <sz val="11"/>
      <color rgb="FF444746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  <scheme val="minor"/>
    </font>
    <font>
      <b/>
      <sz val="14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/>
    <xf numFmtId="9" fontId="0" fillId="0" borderId="0" xfId="0" applyNumberFormat="1"/>
    <xf numFmtId="9" fontId="2" fillId="0" borderId="0" xfId="0" applyNumberFormat="1" applyFont="1"/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7F52-82B0-F241-8A93-BED28DB1ACE9}">
  <dimension ref="A1:F30"/>
  <sheetViews>
    <sheetView tabSelected="1" workbookViewId="0"/>
  </sheetViews>
  <sheetFormatPr baseColWidth="10" defaultRowHeight="16" x14ac:dyDescent="0.2"/>
  <cols>
    <col min="1" max="1" width="31.83203125" customWidth="1"/>
    <col min="2" max="2" width="21.6640625" customWidth="1"/>
    <col min="3" max="4" width="21.83203125" customWidth="1"/>
    <col min="5" max="5" width="43" customWidth="1"/>
    <col min="6" max="6" width="21.5" customWidth="1"/>
  </cols>
  <sheetData>
    <row r="1" spans="1:6" ht="21" x14ac:dyDescent="0.3">
      <c r="A1" s="12" t="s">
        <v>120</v>
      </c>
      <c r="B1" s="12" t="s">
        <v>0</v>
      </c>
      <c r="C1" s="12" t="s">
        <v>1</v>
      </c>
      <c r="D1" s="12" t="s">
        <v>2</v>
      </c>
      <c r="F1" s="27" t="s">
        <v>130</v>
      </c>
    </row>
    <row r="2" spans="1:6" x14ac:dyDescent="0.2">
      <c r="A2" s="9" t="s">
        <v>3</v>
      </c>
      <c r="B2" s="6" t="s">
        <v>121</v>
      </c>
      <c r="C2" s="6"/>
      <c r="D2" s="6"/>
      <c r="E2" s="9" t="s">
        <v>128</v>
      </c>
      <c r="F2" s="26">
        <v>1</v>
      </c>
    </row>
    <row r="3" spans="1:6" x14ac:dyDescent="0.2">
      <c r="A3" s="9" t="s">
        <v>4</v>
      </c>
      <c r="B3" s="6" t="s">
        <v>16</v>
      </c>
      <c r="C3" s="6"/>
      <c r="D3" s="6"/>
      <c r="E3" s="9" t="s">
        <v>129</v>
      </c>
      <c r="F3" s="1" t="str">
        <f>IF(F2=1,"Base Case",IF(F2=2,"Bull Case",IF(F2=3,"Bear Case","Invalid")))</f>
        <v>Base Case</v>
      </c>
    </row>
    <row r="4" spans="1:6" x14ac:dyDescent="0.2">
      <c r="A4" s="6"/>
      <c r="B4" s="6"/>
      <c r="C4" s="6"/>
      <c r="D4" s="6"/>
    </row>
    <row r="5" spans="1:6" x14ac:dyDescent="0.2">
      <c r="A5" s="9" t="s">
        <v>5</v>
      </c>
      <c r="B5" s="6"/>
      <c r="C5" s="6"/>
      <c r="D5" s="6"/>
      <c r="E5" s="25"/>
    </row>
    <row r="6" spans="1:6" x14ac:dyDescent="0.2">
      <c r="A6" s="6" t="s">
        <v>6</v>
      </c>
      <c r="B6" s="6">
        <v>1000</v>
      </c>
      <c r="C6" s="6"/>
      <c r="D6" s="6"/>
      <c r="F6" s="2">
        <f>IF($F$2=1,B6,B6)</f>
        <v>1000</v>
      </c>
    </row>
    <row r="7" spans="1:6" x14ac:dyDescent="0.2">
      <c r="A7" s="6" t="s">
        <v>7</v>
      </c>
      <c r="B7" s="10">
        <v>0.1</v>
      </c>
      <c r="C7" s="10">
        <v>0.15</v>
      </c>
      <c r="D7" s="10">
        <v>0.05</v>
      </c>
      <c r="F7" s="2">
        <f>IF($F$2=1,B7,IF($F$2=2,C7,D7))</f>
        <v>0.1</v>
      </c>
    </row>
    <row r="8" spans="1:6" x14ac:dyDescent="0.2">
      <c r="A8" s="6"/>
      <c r="B8" s="6"/>
      <c r="C8" s="6"/>
      <c r="D8" s="6"/>
      <c r="F8" s="2"/>
    </row>
    <row r="9" spans="1:6" x14ac:dyDescent="0.2">
      <c r="A9" s="9" t="s">
        <v>8</v>
      </c>
      <c r="B9" s="6"/>
      <c r="C9" s="6"/>
      <c r="D9" s="6"/>
      <c r="F9" s="2"/>
    </row>
    <row r="10" spans="1:6" x14ac:dyDescent="0.2">
      <c r="A10" s="6" t="s">
        <v>9</v>
      </c>
      <c r="B10" s="10">
        <v>0.6</v>
      </c>
      <c r="C10" s="10">
        <v>0.55000000000000004</v>
      </c>
      <c r="D10" s="10">
        <v>0.65</v>
      </c>
      <c r="F10" s="2">
        <f>IF($F$2=1,B10,IF($F$2=2,C10,D10))</f>
        <v>0.6</v>
      </c>
    </row>
    <row r="11" spans="1:6" x14ac:dyDescent="0.2">
      <c r="A11" s="6" t="s">
        <v>10</v>
      </c>
      <c r="B11" s="10">
        <v>0.2</v>
      </c>
      <c r="C11" s="11">
        <v>0.18</v>
      </c>
      <c r="D11" s="10">
        <v>0.23</v>
      </c>
      <c r="F11" s="2">
        <f>IF($F$2=1,B11,IF($F$2=2,C11,D11))</f>
        <v>0.2</v>
      </c>
    </row>
    <row r="12" spans="1:6" x14ac:dyDescent="0.2">
      <c r="A12" s="6" t="s">
        <v>11</v>
      </c>
      <c r="B12" s="10">
        <v>0.25</v>
      </c>
      <c r="C12" s="6"/>
      <c r="D12" s="6"/>
      <c r="F12" s="2">
        <f>IF($F$2=1,B12,B12)</f>
        <v>0.25</v>
      </c>
    </row>
    <row r="13" spans="1:6" x14ac:dyDescent="0.2">
      <c r="A13" s="6"/>
      <c r="B13" s="6"/>
      <c r="C13" s="6"/>
      <c r="D13" s="6"/>
      <c r="F13" s="2"/>
    </row>
    <row r="14" spans="1:6" x14ac:dyDescent="0.2">
      <c r="A14" s="9" t="s">
        <v>12</v>
      </c>
      <c r="B14" s="6"/>
      <c r="C14" s="6"/>
      <c r="D14" s="6"/>
      <c r="F14" s="2"/>
    </row>
    <row r="15" spans="1:6" x14ac:dyDescent="0.2">
      <c r="A15" s="6" t="s">
        <v>13</v>
      </c>
      <c r="B15" s="11">
        <v>0.1</v>
      </c>
      <c r="C15" s="11">
        <v>0.08</v>
      </c>
      <c r="D15" s="10">
        <v>0.12</v>
      </c>
      <c r="F15" s="2">
        <f>IF($F$2=1,B15,IF($F$2=2,C15,D15))</f>
        <v>0.1</v>
      </c>
    </row>
    <row r="16" spans="1:6" x14ac:dyDescent="0.2">
      <c r="A16" s="6" t="s">
        <v>14</v>
      </c>
      <c r="B16" s="10">
        <v>0.03</v>
      </c>
      <c r="C16" s="11">
        <v>0.04</v>
      </c>
      <c r="D16" s="10">
        <v>0.02</v>
      </c>
      <c r="F16" s="2">
        <f>IF($F$2=1,B16,IF($F$2=2,C16,D16))</f>
        <v>0.03</v>
      </c>
    </row>
    <row r="17" spans="1:4" x14ac:dyDescent="0.2">
      <c r="A17" s="6" t="s">
        <v>15</v>
      </c>
      <c r="B17" s="6">
        <v>5</v>
      </c>
      <c r="C17" s="6"/>
      <c r="D17" s="6"/>
    </row>
    <row r="18" spans="1:4" x14ac:dyDescent="0.2">
      <c r="A18" s="6"/>
      <c r="B18" s="6"/>
      <c r="C18" s="6"/>
      <c r="D18" s="6"/>
    </row>
    <row r="19" spans="1:4" x14ac:dyDescent="0.2">
      <c r="A19" s="9" t="s">
        <v>53</v>
      </c>
      <c r="B19" s="6"/>
      <c r="C19" s="6"/>
      <c r="D19" s="6"/>
    </row>
    <row r="20" spans="1:4" x14ac:dyDescent="0.2">
      <c r="A20" s="6" t="s">
        <v>54</v>
      </c>
      <c r="B20" s="6">
        <v>100</v>
      </c>
      <c r="C20" s="6"/>
      <c r="D20" s="6"/>
    </row>
    <row r="21" spans="1:4" x14ac:dyDescent="0.2">
      <c r="A21" s="6" t="s">
        <v>55</v>
      </c>
      <c r="B21" s="10">
        <v>0.08</v>
      </c>
      <c r="C21" s="6"/>
      <c r="D21" s="6"/>
    </row>
    <row r="22" spans="1:4" x14ac:dyDescent="0.2">
      <c r="A22" s="6" t="s">
        <v>56</v>
      </c>
      <c r="B22" s="10">
        <v>0.15</v>
      </c>
      <c r="C22" s="6"/>
      <c r="D22" s="6"/>
    </row>
    <row r="23" spans="1:4" x14ac:dyDescent="0.2">
      <c r="A23" s="6" t="s">
        <v>57</v>
      </c>
      <c r="B23" s="10">
        <v>0.08</v>
      </c>
      <c r="C23" s="6"/>
      <c r="D23" s="6"/>
    </row>
    <row r="24" spans="1:4" x14ac:dyDescent="0.2">
      <c r="A24" s="6" t="s">
        <v>58</v>
      </c>
      <c r="B24" s="6">
        <v>500</v>
      </c>
      <c r="C24" s="6"/>
      <c r="D24" s="6"/>
    </row>
    <row r="25" spans="1:4" x14ac:dyDescent="0.2">
      <c r="A25" s="6" t="s">
        <v>62</v>
      </c>
      <c r="B25" s="6">
        <v>50</v>
      </c>
      <c r="C25" s="6"/>
      <c r="D25" s="6"/>
    </row>
    <row r="26" spans="1:4" x14ac:dyDescent="0.2">
      <c r="A26" s="6" t="s">
        <v>59</v>
      </c>
      <c r="B26" s="6">
        <v>40</v>
      </c>
      <c r="C26" s="6"/>
      <c r="D26" s="6"/>
    </row>
    <row r="27" spans="1:4" x14ac:dyDescent="0.2">
      <c r="A27" s="6" t="s">
        <v>60</v>
      </c>
      <c r="B27" s="6">
        <v>50</v>
      </c>
      <c r="C27" s="6"/>
      <c r="D27" s="6"/>
    </row>
    <row r="28" spans="1:4" x14ac:dyDescent="0.2">
      <c r="A28" s="6" t="s">
        <v>61</v>
      </c>
      <c r="B28" s="6">
        <v>200</v>
      </c>
      <c r="C28" s="6"/>
      <c r="D28" s="6"/>
    </row>
    <row r="29" spans="1:4" x14ac:dyDescent="0.2">
      <c r="A29" s="8"/>
      <c r="B29" s="8"/>
      <c r="C29" s="8"/>
      <c r="D29" s="8"/>
    </row>
    <row r="30" spans="1:4" x14ac:dyDescent="0.2">
      <c r="A30" s="8"/>
      <c r="B30" s="8"/>
      <c r="C30" s="8"/>
      <c r="D3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B05C-58AB-B94E-99EF-86DECCA745DB}">
  <dimension ref="A1:F16"/>
  <sheetViews>
    <sheetView workbookViewId="0">
      <selection activeCell="A18" sqref="A18"/>
    </sheetView>
  </sheetViews>
  <sheetFormatPr baseColWidth="10" defaultRowHeight="16" x14ac:dyDescent="0.2"/>
  <cols>
    <col min="1" max="5" width="21.83203125" customWidth="1"/>
    <col min="6" max="6" width="22" customWidth="1"/>
  </cols>
  <sheetData>
    <row r="1" spans="1:6" ht="18" x14ac:dyDescent="0.2">
      <c r="A1" s="12" t="s">
        <v>17</v>
      </c>
      <c r="B1" s="12" t="s">
        <v>22</v>
      </c>
      <c r="C1" s="12" t="s">
        <v>21</v>
      </c>
      <c r="D1" s="12" t="s">
        <v>20</v>
      </c>
      <c r="E1" s="12" t="s">
        <v>19</v>
      </c>
      <c r="F1" s="12" t="s">
        <v>18</v>
      </c>
    </row>
    <row r="2" spans="1:6" x14ac:dyDescent="0.2">
      <c r="A2" s="7"/>
      <c r="B2" s="7"/>
      <c r="C2" s="7"/>
      <c r="D2" s="7"/>
      <c r="E2" s="7"/>
      <c r="F2" s="7"/>
    </row>
    <row r="3" spans="1:6" x14ac:dyDescent="0.2">
      <c r="A3" s="6" t="s">
        <v>24</v>
      </c>
      <c r="B3" s="1">
        <f>Assumptions!$B$6*(1+Assumptions!$F$7)</f>
        <v>1100</v>
      </c>
      <c r="C3" s="1">
        <f>B3*(1+Assumptions!$F$7)</f>
        <v>1210</v>
      </c>
      <c r="D3" s="1">
        <f>C3*(1+Assumptions!$F$7)</f>
        <v>1331</v>
      </c>
      <c r="E3" s="1">
        <f>D3*(1+Assumptions!$F$7)</f>
        <v>1464.1000000000001</v>
      </c>
      <c r="F3" s="6">
        <f>E3*(1+Assumptions!$B$7)</f>
        <v>1610.5100000000002</v>
      </c>
    </row>
    <row r="4" spans="1:6" x14ac:dyDescent="0.2">
      <c r="A4" s="6" t="s">
        <v>25</v>
      </c>
      <c r="B4" s="1">
        <f>B3*Assumptions!$F$10</f>
        <v>660</v>
      </c>
      <c r="C4" s="1">
        <f>C3*Assumptions!$F$10</f>
        <v>726</v>
      </c>
      <c r="D4" s="1">
        <f>D3*Assumptions!$F$10</f>
        <v>798.6</v>
      </c>
      <c r="E4" s="1">
        <f>E3*Assumptions!$F$10</f>
        <v>878.46</v>
      </c>
      <c r="F4" s="6">
        <f>F3*Assumptions!$B$10</f>
        <v>966.30600000000004</v>
      </c>
    </row>
    <row r="5" spans="1:6" x14ac:dyDescent="0.2">
      <c r="A5" s="9" t="s">
        <v>23</v>
      </c>
      <c r="B5" s="9">
        <f>B3-B4</f>
        <v>440</v>
      </c>
      <c r="C5" s="9">
        <f>C3-C4</f>
        <v>484</v>
      </c>
      <c r="D5" s="9">
        <f>D3-D4</f>
        <v>532.4</v>
      </c>
      <c r="E5" s="9">
        <f>E3-E4</f>
        <v>585.6400000000001</v>
      </c>
      <c r="F5" s="9">
        <f>F3-F4</f>
        <v>644.20400000000018</v>
      </c>
    </row>
    <row r="6" spans="1:6" x14ac:dyDescent="0.2">
      <c r="A6" s="6"/>
      <c r="B6" s="6"/>
      <c r="C6" s="6"/>
      <c r="D6" s="6"/>
      <c r="E6" s="6"/>
      <c r="F6" s="6"/>
    </row>
    <row r="7" spans="1:6" x14ac:dyDescent="0.2">
      <c r="A7" s="6" t="s">
        <v>26</v>
      </c>
      <c r="B7" s="1">
        <f>B3*Assumptions!$F$11</f>
        <v>220</v>
      </c>
      <c r="C7" s="1">
        <f>C3*Assumptions!$F$11</f>
        <v>242</v>
      </c>
      <c r="D7" s="1">
        <f>D3*Assumptions!$F$11</f>
        <v>266.2</v>
      </c>
      <c r="E7" s="1">
        <f>E3*Assumptions!$F$11</f>
        <v>292.82000000000005</v>
      </c>
      <c r="F7" s="6">
        <f>F3*Assumptions!$B$11</f>
        <v>322.10200000000009</v>
      </c>
    </row>
    <row r="8" spans="1:6" x14ac:dyDescent="0.2">
      <c r="A8" s="9" t="s">
        <v>27</v>
      </c>
      <c r="B8" s="9">
        <f>B5-B7</f>
        <v>220</v>
      </c>
      <c r="C8" s="9">
        <f>C5-C7</f>
        <v>242</v>
      </c>
      <c r="D8" s="9">
        <f>D5-D7</f>
        <v>266.2</v>
      </c>
      <c r="E8" s="9">
        <f>E5-E7</f>
        <v>292.82000000000005</v>
      </c>
      <c r="F8" s="9">
        <f>F5-F7</f>
        <v>322.10200000000009</v>
      </c>
    </row>
    <row r="9" spans="1:6" x14ac:dyDescent="0.2">
      <c r="A9" s="6"/>
      <c r="B9" s="6"/>
      <c r="C9" s="6"/>
      <c r="D9" s="6"/>
      <c r="E9" s="6"/>
      <c r="F9" s="6"/>
    </row>
    <row r="10" spans="1:6" x14ac:dyDescent="0.2">
      <c r="A10" s="6" t="s">
        <v>28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</row>
    <row r="11" spans="1:6" x14ac:dyDescent="0.2">
      <c r="A11" s="9" t="s">
        <v>29</v>
      </c>
      <c r="B11" s="9">
        <f>B8-B10</f>
        <v>220</v>
      </c>
      <c r="C11" s="9">
        <f>C8-C10</f>
        <v>242</v>
      </c>
      <c r="D11" s="9">
        <f>D8-D10</f>
        <v>266.2</v>
      </c>
      <c r="E11" s="9">
        <f>E8-E10</f>
        <v>292.82000000000005</v>
      </c>
      <c r="F11" s="9">
        <f>F8-F10</f>
        <v>322.10200000000009</v>
      </c>
    </row>
    <row r="12" spans="1:6" x14ac:dyDescent="0.2">
      <c r="A12" s="6"/>
      <c r="B12" s="6"/>
      <c r="C12" s="6"/>
      <c r="D12" s="6"/>
      <c r="E12" s="6"/>
      <c r="F12" s="6"/>
    </row>
    <row r="13" spans="1:6" x14ac:dyDescent="0.2">
      <c r="A13" s="6" t="s">
        <v>30</v>
      </c>
      <c r="B13" s="1">
        <f>B11*Assumptions!$F$12</f>
        <v>55</v>
      </c>
      <c r="C13" s="1">
        <f>C11*Assumptions!$F$12</f>
        <v>60.5</v>
      </c>
      <c r="D13" s="1">
        <f>D11*Assumptions!$F$12</f>
        <v>66.55</v>
      </c>
      <c r="E13" s="1">
        <f>E11*Assumptions!$F$12</f>
        <v>73.205000000000013</v>
      </c>
      <c r="F13" s="6">
        <f>F11*Assumptions!$B$12</f>
        <v>80.525500000000022</v>
      </c>
    </row>
    <row r="14" spans="1:6" x14ac:dyDescent="0.2">
      <c r="A14" s="9" t="s">
        <v>31</v>
      </c>
      <c r="B14" s="9">
        <f>B11-B13</f>
        <v>165</v>
      </c>
      <c r="C14" s="9">
        <f>C11-C13</f>
        <v>181.5</v>
      </c>
      <c r="D14" s="9">
        <f>D11-D13</f>
        <v>199.64999999999998</v>
      </c>
      <c r="E14" s="9">
        <f>E11-E13</f>
        <v>219.61500000000004</v>
      </c>
      <c r="F14" s="9">
        <f>F11-F13</f>
        <v>241.57650000000007</v>
      </c>
    </row>
    <row r="15" spans="1:6" x14ac:dyDescent="0.2">
      <c r="A15" s="2"/>
      <c r="B15" s="1"/>
      <c r="C15" s="1"/>
      <c r="D15" s="1"/>
      <c r="E15" s="1"/>
    </row>
    <row r="16" spans="1:6" x14ac:dyDescent="0.2">
      <c r="A16" s="2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3EF66-2F49-5942-BBA7-A1B104F0740C}">
  <dimension ref="A1:G53"/>
  <sheetViews>
    <sheetView workbookViewId="0"/>
  </sheetViews>
  <sheetFormatPr baseColWidth="10" defaultRowHeight="16" x14ac:dyDescent="0.2"/>
  <cols>
    <col min="1" max="1" width="44.83203125" customWidth="1"/>
    <col min="2" max="5" width="21.83203125" customWidth="1"/>
    <col min="6" max="6" width="21.6640625" customWidth="1"/>
    <col min="7" max="7" width="21.83203125" customWidth="1"/>
  </cols>
  <sheetData>
    <row r="1" spans="1:7" ht="18" x14ac:dyDescent="0.2">
      <c r="A1" s="12" t="s">
        <v>32</v>
      </c>
      <c r="B1" s="12" t="s">
        <v>52</v>
      </c>
      <c r="C1" s="12" t="s">
        <v>22</v>
      </c>
      <c r="D1" s="12" t="s">
        <v>21</v>
      </c>
      <c r="E1" s="12" t="s">
        <v>20</v>
      </c>
      <c r="F1" s="12" t="s">
        <v>19</v>
      </c>
      <c r="G1" s="12" t="s">
        <v>18</v>
      </c>
    </row>
    <row r="2" spans="1:7" x14ac:dyDescent="0.2">
      <c r="A2" s="3"/>
      <c r="B2" s="3"/>
      <c r="C2" s="7"/>
      <c r="D2" s="7"/>
      <c r="E2" s="7"/>
      <c r="F2" s="7"/>
      <c r="G2" s="7"/>
    </row>
    <row r="3" spans="1:7" x14ac:dyDescent="0.2">
      <c r="A3" s="4" t="s">
        <v>33</v>
      </c>
      <c r="B3" s="4"/>
      <c r="C3" s="4"/>
      <c r="D3" s="3"/>
      <c r="E3" s="7"/>
      <c r="F3" s="7"/>
      <c r="G3" s="7"/>
    </row>
    <row r="4" spans="1:7" x14ac:dyDescent="0.2">
      <c r="A4" s="5" t="s">
        <v>34</v>
      </c>
      <c r="B4" s="6">
        <f>Assumptions!B20</f>
        <v>100</v>
      </c>
      <c r="C4" s="1">
        <f>B4+'Income Statement'!B14+Assumptions!$B$26-Assumptions!$B$25-(C5-B5)-(C6-B6)+(C16-B16)</f>
        <v>120.80000000000001</v>
      </c>
      <c r="D4" s="1">
        <f>C4+'Income Statement'!C14+Assumptions!$B$26-Assumptions!$B$25-(D5-C5)-(D6-C6)+(D16-C16)</f>
        <v>278.88</v>
      </c>
      <c r="E4" s="1">
        <f>D4+'Income Statement'!D14+Assumptions!$B$26-Assumptions!$B$25-(E5-D5)-(E6-D6)+(E16-D16)</f>
        <v>453.76799999999997</v>
      </c>
      <c r="F4" s="1">
        <f>E4+'Income Statement'!E14+Assumptions!$B$26-Assumptions!$B$25-(F5-E5)-(F6-E6)+(F16-E16)</f>
        <v>647.14480000000003</v>
      </c>
      <c r="G4" s="1">
        <f>F4+'Income Statement'!F14+Assumptions!$B$26-Assumptions!$B$25-(G5-F5)-(G6-F6)+(G16-F16)</f>
        <v>860.85928000000024</v>
      </c>
    </row>
    <row r="5" spans="1:7" x14ac:dyDescent="0.2">
      <c r="A5" s="5" t="s">
        <v>35</v>
      </c>
      <c r="B5" s="6">
        <v>0</v>
      </c>
      <c r="C5" s="1">
        <f>'Income Statement'!B3*Assumptions!$B$21</f>
        <v>88</v>
      </c>
      <c r="D5" s="1">
        <f>'Income Statement'!C3*Assumptions!$B$21</f>
        <v>96.8</v>
      </c>
      <c r="E5" s="1">
        <f>'Income Statement'!D3*Assumptions!$B$21</f>
        <v>106.48</v>
      </c>
      <c r="F5" s="1">
        <f>'Income Statement'!E3*Assumptions!$B$21</f>
        <v>117.12800000000001</v>
      </c>
      <c r="G5" s="1">
        <f>'Income Statement'!F3*Assumptions!$B$21</f>
        <v>128.84080000000003</v>
      </c>
    </row>
    <row r="6" spans="1:7" x14ac:dyDescent="0.2">
      <c r="A6" s="5" t="s">
        <v>36</v>
      </c>
      <c r="B6" s="6">
        <v>0</v>
      </c>
      <c r="C6" s="1">
        <f>'Income Statement'!B4*Assumptions!$B$22</f>
        <v>99</v>
      </c>
      <c r="D6" s="1">
        <f>'Income Statement'!C4*Assumptions!$B$22</f>
        <v>108.89999999999999</v>
      </c>
      <c r="E6" s="1">
        <f>'Income Statement'!D4*Assumptions!$B$22</f>
        <v>119.78999999999999</v>
      </c>
      <c r="F6" s="1">
        <f>'Income Statement'!E4*Assumptions!$B$22</f>
        <v>131.76900000000001</v>
      </c>
      <c r="G6" s="1">
        <f>'Income Statement'!F4*Assumptions!$B$22</f>
        <v>144.94589999999999</v>
      </c>
    </row>
    <row r="7" spans="1:7" x14ac:dyDescent="0.2">
      <c r="A7" s="4" t="s">
        <v>37</v>
      </c>
      <c r="B7" s="6">
        <f t="shared" ref="B7:G7" si="0">B4+B5+B6</f>
        <v>100</v>
      </c>
      <c r="C7" s="6">
        <f t="shared" si="0"/>
        <v>307.8</v>
      </c>
      <c r="D7" s="6">
        <f t="shared" si="0"/>
        <v>484.58</v>
      </c>
      <c r="E7" s="6">
        <f t="shared" si="0"/>
        <v>680.0379999999999</v>
      </c>
      <c r="F7" s="6">
        <f t="shared" si="0"/>
        <v>896.04180000000008</v>
      </c>
      <c r="G7" s="6">
        <f t="shared" si="0"/>
        <v>1134.6459800000002</v>
      </c>
    </row>
    <row r="8" spans="1:7" x14ac:dyDescent="0.2">
      <c r="A8" s="5"/>
      <c r="B8" s="5"/>
      <c r="C8" s="5"/>
      <c r="D8" s="5"/>
      <c r="E8" s="5"/>
      <c r="F8" s="5"/>
      <c r="G8" s="5"/>
    </row>
    <row r="9" spans="1:7" x14ac:dyDescent="0.2">
      <c r="A9" s="5" t="s">
        <v>38</v>
      </c>
      <c r="B9" s="6">
        <f>Assumptions!B24</f>
        <v>500</v>
      </c>
      <c r="C9" s="1">
        <f>B9+Assumptions!$B$25</f>
        <v>550</v>
      </c>
      <c r="D9" s="1">
        <f>C9+Assumptions!$B$25</f>
        <v>600</v>
      </c>
      <c r="E9" s="1">
        <f>D9+Assumptions!$B$25</f>
        <v>650</v>
      </c>
      <c r="F9" s="1">
        <f>E9+Assumptions!$B$25</f>
        <v>700</v>
      </c>
      <c r="G9" s="1">
        <f>F9+Assumptions!$B$25</f>
        <v>750</v>
      </c>
    </row>
    <row r="10" spans="1:7" x14ac:dyDescent="0.2">
      <c r="A10" s="5" t="s">
        <v>39</v>
      </c>
      <c r="B10" s="6">
        <v>0</v>
      </c>
      <c r="C10" s="1">
        <f>B10+Assumptions!$B$26</f>
        <v>40</v>
      </c>
      <c r="D10" s="1">
        <f>C10+Assumptions!$B$26</f>
        <v>80</v>
      </c>
      <c r="E10" s="1">
        <f>D10+Assumptions!$B$26</f>
        <v>120</v>
      </c>
      <c r="F10" s="1">
        <f>E10+Assumptions!$B$26</f>
        <v>160</v>
      </c>
      <c r="G10" s="1">
        <f>F10+Assumptions!$B$26</f>
        <v>200</v>
      </c>
    </row>
    <row r="11" spans="1:7" x14ac:dyDescent="0.2">
      <c r="A11" s="4" t="s">
        <v>40</v>
      </c>
      <c r="B11" s="6">
        <f t="shared" ref="B11:G11" si="1">B9-B10</f>
        <v>500</v>
      </c>
      <c r="C11" s="6">
        <f t="shared" si="1"/>
        <v>510</v>
      </c>
      <c r="D11" s="6">
        <f t="shared" si="1"/>
        <v>520</v>
      </c>
      <c r="E11" s="6">
        <f t="shared" si="1"/>
        <v>530</v>
      </c>
      <c r="F11" s="6">
        <f t="shared" si="1"/>
        <v>540</v>
      </c>
      <c r="G11" s="6">
        <f t="shared" si="1"/>
        <v>550</v>
      </c>
    </row>
    <row r="12" spans="1:7" x14ac:dyDescent="0.2">
      <c r="A12" s="5"/>
      <c r="B12" s="4"/>
      <c r="C12" s="5"/>
      <c r="D12" s="5"/>
      <c r="E12" s="5"/>
      <c r="F12" s="5"/>
      <c r="G12" s="5"/>
    </row>
    <row r="13" spans="1:7" x14ac:dyDescent="0.2">
      <c r="A13" s="4" t="s">
        <v>41</v>
      </c>
      <c r="B13" s="9">
        <f t="shared" ref="B13:G13" si="2">B7+B11</f>
        <v>600</v>
      </c>
      <c r="C13" s="9">
        <f t="shared" si="2"/>
        <v>817.8</v>
      </c>
      <c r="D13" s="9">
        <f t="shared" si="2"/>
        <v>1004.5799999999999</v>
      </c>
      <c r="E13" s="9">
        <f t="shared" si="2"/>
        <v>1210.038</v>
      </c>
      <c r="F13" s="9">
        <f t="shared" si="2"/>
        <v>1436.0418</v>
      </c>
      <c r="G13" s="9">
        <f t="shared" si="2"/>
        <v>1684.6459800000002</v>
      </c>
    </row>
    <row r="14" spans="1:7" x14ac:dyDescent="0.2">
      <c r="A14" s="5"/>
      <c r="B14" s="5"/>
      <c r="C14" s="5"/>
      <c r="D14" s="5"/>
      <c r="E14" s="5"/>
      <c r="F14" s="5"/>
      <c r="G14" s="5"/>
    </row>
    <row r="15" spans="1:7" x14ac:dyDescent="0.2">
      <c r="A15" s="4" t="s">
        <v>42</v>
      </c>
      <c r="B15" s="4"/>
      <c r="C15" s="5"/>
      <c r="D15" s="5"/>
      <c r="E15" s="5"/>
      <c r="F15" s="5"/>
      <c r="G15" s="5"/>
    </row>
    <row r="16" spans="1:7" x14ac:dyDescent="0.2">
      <c r="A16" s="5" t="s">
        <v>43</v>
      </c>
      <c r="B16" s="6">
        <v>0</v>
      </c>
      <c r="C16" s="1">
        <f>'Income Statement'!B4*Assumptions!$B$23</f>
        <v>52.800000000000004</v>
      </c>
      <c r="D16" s="1">
        <f>'Income Statement'!C4*Assumptions!$B$23</f>
        <v>58.08</v>
      </c>
      <c r="E16" s="1">
        <f>'Income Statement'!D4*Assumptions!$B$23</f>
        <v>63.888000000000005</v>
      </c>
      <c r="F16" s="1">
        <f>'Income Statement'!E4*Assumptions!$B$23</f>
        <v>70.276800000000009</v>
      </c>
      <c r="G16" s="1">
        <f>'Income Statement'!F4*Assumptions!$B$23</f>
        <v>77.304479999999998</v>
      </c>
    </row>
    <row r="17" spans="1:7" x14ac:dyDescent="0.2">
      <c r="A17" s="5" t="s">
        <v>44</v>
      </c>
      <c r="B17" s="6">
        <f>Assumptions!B27</f>
        <v>50</v>
      </c>
      <c r="C17" s="6">
        <f>B17</f>
        <v>50</v>
      </c>
      <c r="D17" s="6">
        <f>C17</f>
        <v>50</v>
      </c>
      <c r="E17" s="6">
        <f>D17</f>
        <v>50</v>
      </c>
      <c r="F17" s="6">
        <f>E17</f>
        <v>50</v>
      </c>
      <c r="G17" s="6">
        <f>F17</f>
        <v>50</v>
      </c>
    </row>
    <row r="18" spans="1:7" x14ac:dyDescent="0.2">
      <c r="A18" s="4" t="s">
        <v>45</v>
      </c>
      <c r="B18" s="6">
        <f t="shared" ref="B18:G18" si="3">B16+B17</f>
        <v>50</v>
      </c>
      <c r="C18" s="6">
        <f t="shared" si="3"/>
        <v>102.80000000000001</v>
      </c>
      <c r="D18" s="6">
        <f t="shared" si="3"/>
        <v>108.08</v>
      </c>
      <c r="E18" s="6">
        <f t="shared" si="3"/>
        <v>113.88800000000001</v>
      </c>
      <c r="F18" s="6">
        <f t="shared" si="3"/>
        <v>120.27680000000001</v>
      </c>
      <c r="G18" s="6">
        <f t="shared" si="3"/>
        <v>127.30448</v>
      </c>
    </row>
    <row r="19" spans="1:7" x14ac:dyDescent="0.2">
      <c r="A19" s="5"/>
      <c r="B19" s="4"/>
      <c r="C19" s="5"/>
      <c r="D19" s="5"/>
      <c r="E19" s="5"/>
      <c r="F19" s="5"/>
      <c r="G19" s="5"/>
    </row>
    <row r="20" spans="1:7" x14ac:dyDescent="0.2">
      <c r="A20" s="5" t="s">
        <v>46</v>
      </c>
      <c r="B20" s="6">
        <f>Assumptions!B28</f>
        <v>200</v>
      </c>
      <c r="C20" s="6">
        <f>B20</f>
        <v>200</v>
      </c>
      <c r="D20" s="6">
        <f>C20</f>
        <v>200</v>
      </c>
      <c r="E20" s="6">
        <f>D20</f>
        <v>200</v>
      </c>
      <c r="F20" s="6">
        <f>E20</f>
        <v>200</v>
      </c>
      <c r="G20" s="6">
        <f>F20</f>
        <v>200</v>
      </c>
    </row>
    <row r="21" spans="1:7" x14ac:dyDescent="0.2">
      <c r="A21" s="4" t="s">
        <v>47</v>
      </c>
      <c r="B21" s="6">
        <f t="shared" ref="B21:G21" si="4">B18+B20</f>
        <v>250</v>
      </c>
      <c r="C21" s="6">
        <f t="shared" si="4"/>
        <v>302.8</v>
      </c>
      <c r="D21" s="6">
        <f t="shared" si="4"/>
        <v>308.08</v>
      </c>
      <c r="E21" s="6">
        <f t="shared" si="4"/>
        <v>313.88800000000003</v>
      </c>
      <c r="F21" s="6">
        <f t="shared" si="4"/>
        <v>320.27679999999998</v>
      </c>
      <c r="G21" s="6">
        <f t="shared" si="4"/>
        <v>327.30448000000001</v>
      </c>
    </row>
    <row r="22" spans="1:7" x14ac:dyDescent="0.2">
      <c r="A22" s="5"/>
      <c r="B22" s="5"/>
      <c r="C22" s="5"/>
      <c r="D22" s="5"/>
      <c r="E22" s="5"/>
      <c r="F22" s="5"/>
      <c r="G22" s="5"/>
    </row>
    <row r="23" spans="1:7" x14ac:dyDescent="0.2">
      <c r="A23" s="4" t="s">
        <v>48</v>
      </c>
      <c r="B23" s="4"/>
      <c r="C23" s="15"/>
      <c r="D23" s="15"/>
      <c r="E23" s="15"/>
      <c r="F23" s="15"/>
      <c r="G23" s="15"/>
    </row>
    <row r="24" spans="1:7" ht="17" x14ac:dyDescent="0.25">
      <c r="A24" s="5" t="s">
        <v>49</v>
      </c>
      <c r="B24" s="6">
        <f>B13-B21</f>
        <v>350</v>
      </c>
      <c r="C24" s="14">
        <f>B24+'Income Statement'!B14</f>
        <v>515</v>
      </c>
      <c r="D24" s="14">
        <f>C24+'Income Statement'!C14</f>
        <v>696.5</v>
      </c>
      <c r="E24" s="14">
        <f>D24+'Income Statement'!D14</f>
        <v>896.15</v>
      </c>
      <c r="F24" s="14">
        <f>E24+'Income Statement'!E14</f>
        <v>1115.7650000000001</v>
      </c>
      <c r="G24" s="14">
        <f>F24+'Income Statement'!F14</f>
        <v>1357.3415000000002</v>
      </c>
    </row>
    <row r="25" spans="1:7" x14ac:dyDescent="0.2">
      <c r="A25" s="4" t="s">
        <v>50</v>
      </c>
      <c r="B25" s="6">
        <f t="shared" ref="B25:G25" si="5">B24</f>
        <v>350</v>
      </c>
      <c r="C25" s="6">
        <f t="shared" si="5"/>
        <v>515</v>
      </c>
      <c r="D25" s="6">
        <f t="shared" si="5"/>
        <v>696.5</v>
      </c>
      <c r="E25" s="6">
        <f t="shared" si="5"/>
        <v>896.15</v>
      </c>
      <c r="F25" s="6">
        <f t="shared" si="5"/>
        <v>1115.7650000000001</v>
      </c>
      <c r="G25" s="6">
        <f t="shared" si="5"/>
        <v>1357.3415000000002</v>
      </c>
    </row>
    <row r="26" spans="1:7" x14ac:dyDescent="0.2">
      <c r="A26" s="5"/>
      <c r="B26" s="5"/>
      <c r="C26" s="6"/>
      <c r="D26" s="6"/>
      <c r="E26" s="6"/>
      <c r="F26" s="6"/>
      <c r="G26" s="6"/>
    </row>
    <row r="27" spans="1:7" x14ac:dyDescent="0.2">
      <c r="A27" s="4" t="s">
        <v>51</v>
      </c>
      <c r="B27" s="9">
        <f t="shared" ref="B27:G27" si="6">B21+B25</f>
        <v>600</v>
      </c>
      <c r="C27" s="9">
        <f t="shared" si="6"/>
        <v>817.8</v>
      </c>
      <c r="D27" s="9">
        <f t="shared" si="6"/>
        <v>1004.5799999999999</v>
      </c>
      <c r="E27" s="9">
        <f t="shared" si="6"/>
        <v>1210.038</v>
      </c>
      <c r="F27" s="9">
        <f t="shared" si="6"/>
        <v>1436.0418</v>
      </c>
      <c r="G27" s="9">
        <f t="shared" si="6"/>
        <v>1684.6459800000002</v>
      </c>
    </row>
    <row r="28" spans="1:7" x14ac:dyDescent="0.2">
      <c r="A28" s="6"/>
      <c r="B28" s="5"/>
      <c r="C28" s="6"/>
      <c r="D28" s="4"/>
      <c r="E28" s="5"/>
      <c r="F28" s="7"/>
      <c r="G28" s="7"/>
    </row>
    <row r="29" spans="1:7" x14ac:dyDescent="0.2">
      <c r="A29" s="9" t="s">
        <v>63</v>
      </c>
      <c r="B29" s="6"/>
      <c r="C29" s="6"/>
      <c r="D29" s="5"/>
      <c r="E29" s="5"/>
      <c r="F29" s="7"/>
      <c r="G29" s="7"/>
    </row>
    <row r="30" spans="1:7" x14ac:dyDescent="0.2">
      <c r="A30" s="9" t="s">
        <v>64</v>
      </c>
      <c r="B30" s="6"/>
      <c r="C30" s="6"/>
      <c r="D30" s="1"/>
      <c r="E30" s="6"/>
      <c r="F30" s="7"/>
      <c r="G30" s="7"/>
    </row>
    <row r="31" spans="1:7" x14ac:dyDescent="0.2">
      <c r="A31" s="9" t="s">
        <v>65</v>
      </c>
      <c r="B31" s="6"/>
      <c r="C31" s="6"/>
      <c r="D31" s="1"/>
      <c r="E31" s="6"/>
      <c r="F31" s="7"/>
      <c r="G31" s="7"/>
    </row>
    <row r="32" spans="1:7" x14ac:dyDescent="0.2">
      <c r="A32" s="9" t="s">
        <v>66</v>
      </c>
      <c r="B32" s="6"/>
      <c r="C32" s="6"/>
      <c r="D32" s="1"/>
      <c r="E32" s="6"/>
      <c r="F32" s="7"/>
      <c r="G32" s="7"/>
    </row>
    <row r="33" spans="1:7" x14ac:dyDescent="0.2">
      <c r="A33" s="9" t="s">
        <v>67</v>
      </c>
      <c r="B33" s="6"/>
      <c r="C33" s="6"/>
      <c r="D33" s="9"/>
      <c r="E33" s="9"/>
      <c r="F33" s="7"/>
      <c r="G33" s="7"/>
    </row>
    <row r="34" spans="1:7" x14ac:dyDescent="0.2">
      <c r="A34" s="9" t="s">
        <v>68</v>
      </c>
      <c r="B34" s="6"/>
      <c r="C34" s="6"/>
      <c r="D34" s="5"/>
      <c r="E34" s="5"/>
      <c r="F34" s="7"/>
      <c r="G34" s="7"/>
    </row>
    <row r="35" spans="1:7" x14ac:dyDescent="0.2">
      <c r="A35" s="9" t="s">
        <v>69</v>
      </c>
      <c r="B35" s="6"/>
      <c r="C35" s="6"/>
      <c r="D35" s="1"/>
      <c r="E35" s="6"/>
      <c r="F35" s="7"/>
      <c r="G35" s="7"/>
    </row>
    <row r="36" spans="1:7" x14ac:dyDescent="0.2">
      <c r="A36" s="6"/>
      <c r="B36" s="6"/>
      <c r="C36" s="6"/>
      <c r="D36" s="1"/>
      <c r="E36" s="6"/>
      <c r="F36" s="7"/>
      <c r="G36" s="7"/>
    </row>
    <row r="37" spans="1:7" x14ac:dyDescent="0.2">
      <c r="A37" s="7"/>
      <c r="B37" s="7"/>
      <c r="C37" s="7"/>
      <c r="D37" s="6"/>
      <c r="E37" s="6"/>
      <c r="F37" s="7"/>
      <c r="G37" s="7"/>
    </row>
    <row r="38" spans="1:7" x14ac:dyDescent="0.2">
      <c r="A38" s="7"/>
      <c r="B38" s="7"/>
      <c r="C38" s="7"/>
      <c r="D38" s="5"/>
      <c r="E38" s="5"/>
      <c r="F38" s="7"/>
      <c r="G38" s="7"/>
    </row>
    <row r="39" spans="1:7" x14ac:dyDescent="0.2">
      <c r="A39" s="8"/>
      <c r="B39" s="8"/>
      <c r="C39" s="8"/>
      <c r="D39" s="6"/>
      <c r="E39" s="6"/>
      <c r="F39" s="8"/>
      <c r="G39" s="8"/>
    </row>
    <row r="40" spans="1:7" x14ac:dyDescent="0.2">
      <c r="D40" s="5"/>
      <c r="E40" s="5"/>
    </row>
    <row r="41" spans="1:7" x14ac:dyDescent="0.2">
      <c r="D41" s="5"/>
      <c r="E41" s="5"/>
    </row>
    <row r="42" spans="1:7" x14ac:dyDescent="0.2">
      <c r="D42" s="1"/>
      <c r="E42" s="6"/>
    </row>
    <row r="43" spans="1:7" x14ac:dyDescent="0.2">
      <c r="D43" s="6"/>
      <c r="E43" s="6"/>
    </row>
    <row r="44" spans="1:7" x14ac:dyDescent="0.2">
      <c r="D44" s="6"/>
      <c r="E44" s="6"/>
    </row>
    <row r="45" spans="1:7" x14ac:dyDescent="0.2">
      <c r="D45" s="5"/>
      <c r="E45" s="5"/>
    </row>
    <row r="46" spans="1:7" x14ac:dyDescent="0.2">
      <c r="D46" s="6"/>
      <c r="E46" s="6"/>
    </row>
    <row r="47" spans="1:7" x14ac:dyDescent="0.2">
      <c r="D47" s="6"/>
      <c r="E47" s="6"/>
    </row>
    <row r="48" spans="1:7" x14ac:dyDescent="0.2">
      <c r="D48" s="5"/>
      <c r="E48" s="5"/>
    </row>
    <row r="49" spans="4:5" x14ac:dyDescent="0.2">
      <c r="D49" s="15"/>
      <c r="E49" s="15"/>
    </row>
    <row r="50" spans="4:5" ht="17" x14ac:dyDescent="0.25">
      <c r="D50" s="14"/>
      <c r="E50" s="6"/>
    </row>
    <row r="51" spans="4:5" x14ac:dyDescent="0.2">
      <c r="D51" s="6"/>
      <c r="E51" s="6"/>
    </row>
    <row r="52" spans="4:5" x14ac:dyDescent="0.2">
      <c r="D52" s="6"/>
      <c r="E52" s="6"/>
    </row>
    <row r="53" spans="4:5" x14ac:dyDescent="0.2">
      <c r="D53" s="6"/>
      <c r="E5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BCFB-B9D3-CE42-B075-93715229709C}">
  <dimension ref="A1:G39"/>
  <sheetViews>
    <sheetView workbookViewId="0"/>
  </sheetViews>
  <sheetFormatPr baseColWidth="10" defaultRowHeight="16" x14ac:dyDescent="0.2"/>
  <cols>
    <col min="1" max="1" width="37.5" customWidth="1"/>
    <col min="2" max="2" width="21.6640625" customWidth="1"/>
    <col min="3" max="6" width="21.83203125" customWidth="1"/>
    <col min="7" max="7" width="22" customWidth="1"/>
  </cols>
  <sheetData>
    <row r="1" spans="1:7" ht="18" x14ac:dyDescent="0.2">
      <c r="A1" s="12" t="s">
        <v>70</v>
      </c>
      <c r="B1" s="12" t="s">
        <v>22</v>
      </c>
      <c r="C1" s="12" t="s">
        <v>21</v>
      </c>
      <c r="D1" s="12" t="s">
        <v>20</v>
      </c>
      <c r="E1" s="12" t="s">
        <v>19</v>
      </c>
      <c r="F1" s="12" t="s">
        <v>18</v>
      </c>
      <c r="G1" s="12"/>
    </row>
    <row r="2" spans="1:7" x14ac:dyDescent="0.2">
      <c r="A2" s="7"/>
      <c r="B2" s="7"/>
      <c r="C2" s="7"/>
      <c r="D2" s="7"/>
      <c r="E2" s="7"/>
      <c r="F2" s="7"/>
    </row>
    <row r="3" spans="1:7" x14ac:dyDescent="0.2">
      <c r="A3" s="9" t="s">
        <v>71</v>
      </c>
      <c r="B3" s="6"/>
      <c r="C3" s="6"/>
      <c r="D3" s="6"/>
      <c r="E3" s="6"/>
      <c r="F3" s="6"/>
    </row>
    <row r="4" spans="1:7" x14ac:dyDescent="0.2">
      <c r="A4" s="6" t="s">
        <v>31</v>
      </c>
      <c r="B4" s="6">
        <f>'Income Statement'!B14</f>
        <v>165</v>
      </c>
      <c r="C4" s="6">
        <f>'Income Statement'!C14</f>
        <v>181.5</v>
      </c>
      <c r="D4" s="6">
        <f>'Income Statement'!D14</f>
        <v>199.64999999999998</v>
      </c>
      <c r="E4" s="6">
        <f>'Income Statement'!E14</f>
        <v>219.61500000000004</v>
      </c>
      <c r="F4" s="6">
        <f>'Income Statement'!F14</f>
        <v>241.57650000000007</v>
      </c>
    </row>
    <row r="5" spans="1:7" x14ac:dyDescent="0.2">
      <c r="A5" s="6" t="s">
        <v>72</v>
      </c>
      <c r="B5" s="6">
        <f>Assumptions!$B$26</f>
        <v>40</v>
      </c>
      <c r="C5" s="6">
        <f>Assumptions!$B$26</f>
        <v>40</v>
      </c>
      <c r="D5" s="6">
        <f>Assumptions!$B$26</f>
        <v>40</v>
      </c>
      <c r="E5" s="6">
        <f>Assumptions!$B$26</f>
        <v>40</v>
      </c>
      <c r="F5" s="6">
        <f>Assumptions!$B$26</f>
        <v>40</v>
      </c>
    </row>
    <row r="6" spans="1:7" x14ac:dyDescent="0.2">
      <c r="A6" s="6" t="s">
        <v>73</v>
      </c>
      <c r="B6" s="6">
        <f>-('Balance Sheet'!C5-'Balance Sheet'!B5)</f>
        <v>-88</v>
      </c>
      <c r="C6" s="6">
        <f>-('Balance Sheet'!D5-'Balance Sheet'!C5)</f>
        <v>-8.7999999999999972</v>
      </c>
      <c r="D6" s="6">
        <f>-('Balance Sheet'!E5-'Balance Sheet'!D5)</f>
        <v>-9.6800000000000068</v>
      </c>
      <c r="E6" s="6">
        <f>-('Balance Sheet'!F5-'Balance Sheet'!E5)</f>
        <v>-10.64800000000001</v>
      </c>
      <c r="F6" s="6">
        <f>-('Balance Sheet'!G5-'Balance Sheet'!F5)</f>
        <v>-11.712800000000016</v>
      </c>
    </row>
    <row r="7" spans="1:7" x14ac:dyDescent="0.2">
      <c r="A7" s="6" t="s">
        <v>74</v>
      </c>
      <c r="B7" s="6">
        <f>-('Balance Sheet'!C6-'Balance Sheet'!B6)</f>
        <v>-99</v>
      </c>
      <c r="C7" s="6">
        <f>-('Balance Sheet'!D6-'Balance Sheet'!C6)</f>
        <v>-9.8999999999999915</v>
      </c>
      <c r="D7" s="6">
        <f>-('Balance Sheet'!E6-'Balance Sheet'!D6)</f>
        <v>-10.89</v>
      </c>
      <c r="E7" s="6">
        <f>-('Balance Sheet'!F6-'Balance Sheet'!E6)</f>
        <v>-11.979000000000013</v>
      </c>
      <c r="F7" s="6">
        <f>-('Balance Sheet'!G6-'Balance Sheet'!F6)</f>
        <v>-13.176899999999989</v>
      </c>
    </row>
    <row r="8" spans="1:7" x14ac:dyDescent="0.2">
      <c r="A8" s="6" t="s">
        <v>75</v>
      </c>
      <c r="B8" s="6">
        <f>'Balance Sheet'!C16-'Balance Sheet'!B16</f>
        <v>52.800000000000004</v>
      </c>
      <c r="C8" s="6">
        <f>'Balance Sheet'!D16-'Balance Sheet'!C16</f>
        <v>5.279999999999994</v>
      </c>
      <c r="D8" s="6">
        <f>'Balance Sheet'!E16-'Balance Sheet'!D16</f>
        <v>5.8080000000000069</v>
      </c>
      <c r="E8" s="6">
        <f>'Balance Sheet'!F16-'Balance Sheet'!E16</f>
        <v>6.3888000000000034</v>
      </c>
      <c r="F8" s="6">
        <f>'Balance Sheet'!G16-'Balance Sheet'!F16</f>
        <v>7.0276799999999895</v>
      </c>
    </row>
    <row r="9" spans="1:7" x14ac:dyDescent="0.2">
      <c r="A9" s="9" t="s">
        <v>76</v>
      </c>
      <c r="B9" s="6">
        <f>B4+B5+B6+B7+B8</f>
        <v>70.800000000000011</v>
      </c>
      <c r="C9" s="6">
        <f>C4+C5+C6+C7+C8</f>
        <v>208.08</v>
      </c>
      <c r="D9" s="6">
        <f>D4+D5+D6+D7+D8</f>
        <v>224.88799999999998</v>
      </c>
      <c r="E9" s="6">
        <f>E4+E5+E6+E7+E8</f>
        <v>243.37679999999997</v>
      </c>
      <c r="F9" s="6">
        <f>F4+F5+F6+F7+F8</f>
        <v>263.71448000000004</v>
      </c>
    </row>
    <row r="10" spans="1:7" x14ac:dyDescent="0.2">
      <c r="A10" s="6"/>
      <c r="B10" s="6"/>
      <c r="C10" s="6"/>
      <c r="D10" s="6"/>
      <c r="E10" s="6"/>
      <c r="F10" s="6"/>
    </row>
    <row r="11" spans="1:7" x14ac:dyDescent="0.2">
      <c r="A11" s="9" t="s">
        <v>77</v>
      </c>
      <c r="B11" s="6"/>
      <c r="C11" s="6"/>
      <c r="D11" s="6"/>
      <c r="E11" s="6"/>
      <c r="F11" s="6"/>
    </row>
    <row r="12" spans="1:7" x14ac:dyDescent="0.2">
      <c r="A12" s="6" t="s">
        <v>78</v>
      </c>
      <c r="B12" s="6">
        <f>-Assumptions!$B$25</f>
        <v>-50</v>
      </c>
      <c r="C12" s="6">
        <f>-Assumptions!$B$25</f>
        <v>-50</v>
      </c>
      <c r="D12" s="6">
        <f>-Assumptions!$B$25</f>
        <v>-50</v>
      </c>
      <c r="E12" s="6">
        <f>-Assumptions!$B$25</f>
        <v>-50</v>
      </c>
      <c r="F12" s="6">
        <f>-Assumptions!$B$25</f>
        <v>-50</v>
      </c>
    </row>
    <row r="13" spans="1:7" x14ac:dyDescent="0.2">
      <c r="A13" s="9" t="s">
        <v>79</v>
      </c>
      <c r="B13" s="6">
        <f>B12</f>
        <v>-50</v>
      </c>
      <c r="C13" s="6">
        <f>C12</f>
        <v>-50</v>
      </c>
      <c r="D13" s="6">
        <f>D12</f>
        <v>-50</v>
      </c>
      <c r="E13" s="6">
        <f>E12</f>
        <v>-50</v>
      </c>
      <c r="F13" s="6">
        <f>F12</f>
        <v>-50</v>
      </c>
    </row>
    <row r="14" spans="1:7" x14ac:dyDescent="0.2">
      <c r="A14" s="6"/>
      <c r="B14" s="6"/>
      <c r="C14" s="6"/>
      <c r="D14" s="6"/>
      <c r="E14" s="6"/>
      <c r="F14" s="6"/>
    </row>
    <row r="15" spans="1:7" x14ac:dyDescent="0.2">
      <c r="A15" s="9" t="s">
        <v>80</v>
      </c>
      <c r="B15" s="6"/>
      <c r="C15" s="6"/>
      <c r="D15" s="6"/>
      <c r="E15" s="6"/>
      <c r="F15" s="6"/>
    </row>
    <row r="16" spans="1:7" x14ac:dyDescent="0.2">
      <c r="A16" s="6" t="s">
        <v>81</v>
      </c>
      <c r="B16" s="6">
        <f>'Balance Sheet'!C17-'Balance Sheet'!B17</f>
        <v>0</v>
      </c>
      <c r="C16" s="6">
        <f>'Balance Sheet'!D17-'Balance Sheet'!C17</f>
        <v>0</v>
      </c>
      <c r="D16" s="6">
        <f>'Balance Sheet'!E17-'Balance Sheet'!D17</f>
        <v>0</v>
      </c>
      <c r="E16" s="6">
        <f>'Balance Sheet'!F17-'Balance Sheet'!E17</f>
        <v>0</v>
      </c>
      <c r="F16" s="6">
        <f>'Balance Sheet'!G17-'Balance Sheet'!F17</f>
        <v>0</v>
      </c>
    </row>
    <row r="17" spans="1:7" x14ac:dyDescent="0.2">
      <c r="A17" s="6" t="s">
        <v>82</v>
      </c>
      <c r="B17" s="6">
        <f>'Balance Sheet'!C20-'Balance Sheet'!B20</f>
        <v>0</v>
      </c>
      <c r="C17" s="6">
        <f>'Balance Sheet'!D20-'Balance Sheet'!C20</f>
        <v>0</v>
      </c>
      <c r="D17" s="6">
        <f>'Balance Sheet'!E20-'Balance Sheet'!D20</f>
        <v>0</v>
      </c>
      <c r="E17" s="6">
        <f>'Balance Sheet'!F20-'Balance Sheet'!E20</f>
        <v>0</v>
      </c>
      <c r="F17" s="6">
        <f>'Balance Sheet'!G20-'Balance Sheet'!F20</f>
        <v>0</v>
      </c>
    </row>
    <row r="18" spans="1:7" ht="18" x14ac:dyDescent="0.2">
      <c r="A18" s="9" t="s">
        <v>83</v>
      </c>
      <c r="B18" s="6">
        <f>B16+B17</f>
        <v>0</v>
      </c>
      <c r="C18" s="6">
        <f>C16+C17</f>
        <v>0</v>
      </c>
      <c r="D18" s="6">
        <f>D16+D17</f>
        <v>0</v>
      </c>
      <c r="E18" s="6">
        <f>E16+E17</f>
        <v>0</v>
      </c>
      <c r="F18" s="6">
        <f>F16+F17</f>
        <v>0</v>
      </c>
      <c r="G18" s="12"/>
    </row>
    <row r="19" spans="1:7" x14ac:dyDescent="0.2">
      <c r="A19" s="6"/>
      <c r="B19" s="6"/>
      <c r="C19" s="6"/>
      <c r="D19" s="6"/>
      <c r="E19" s="6"/>
      <c r="F19" s="6"/>
    </row>
    <row r="20" spans="1:7" x14ac:dyDescent="0.2">
      <c r="A20" s="9" t="s">
        <v>84</v>
      </c>
      <c r="B20" s="6">
        <f>B9+B13+B18</f>
        <v>20.800000000000011</v>
      </c>
      <c r="C20" s="6">
        <f>C9+C13+C18</f>
        <v>158.08000000000001</v>
      </c>
      <c r="D20" s="6">
        <f>D9+D13+D18</f>
        <v>174.88799999999998</v>
      </c>
      <c r="E20" s="6">
        <f>E9+E13+E18</f>
        <v>193.37679999999997</v>
      </c>
      <c r="F20" s="6">
        <f>F9+F13+F18</f>
        <v>213.71448000000004</v>
      </c>
    </row>
    <row r="21" spans="1:7" x14ac:dyDescent="0.2">
      <c r="A21" s="6" t="s">
        <v>85</v>
      </c>
      <c r="B21" s="6">
        <f>'Balance Sheet'!B4</f>
        <v>100</v>
      </c>
      <c r="C21" s="6">
        <f>'Balance Sheet'!C4</f>
        <v>120.80000000000001</v>
      </c>
      <c r="D21" s="6">
        <f>'Balance Sheet'!D4</f>
        <v>278.88</v>
      </c>
      <c r="E21" s="6">
        <f>'Balance Sheet'!E4</f>
        <v>453.76799999999997</v>
      </c>
      <c r="F21" s="6">
        <f>'Balance Sheet'!F4</f>
        <v>647.14480000000003</v>
      </c>
    </row>
    <row r="22" spans="1:7" x14ac:dyDescent="0.2">
      <c r="A22" s="9" t="s">
        <v>86</v>
      </c>
      <c r="B22" s="6">
        <f>B21+B20</f>
        <v>120.80000000000001</v>
      </c>
      <c r="C22" s="6">
        <f>C21+C20</f>
        <v>278.88</v>
      </c>
      <c r="D22" s="6">
        <f>D21+D20</f>
        <v>453.76799999999997</v>
      </c>
      <c r="E22" s="6">
        <f>E21+E20</f>
        <v>647.14479999999992</v>
      </c>
      <c r="F22" s="6">
        <f>F21+F20</f>
        <v>860.85928000000013</v>
      </c>
    </row>
    <row r="23" spans="1:7" x14ac:dyDescent="0.2">
      <c r="A23" s="7"/>
      <c r="B23" s="7"/>
      <c r="C23" s="7"/>
      <c r="D23" s="7"/>
      <c r="E23" s="7"/>
      <c r="F23" s="6"/>
    </row>
    <row r="24" spans="1:7" x14ac:dyDescent="0.2">
      <c r="F24" s="6"/>
    </row>
    <row r="25" spans="1:7" x14ac:dyDescent="0.2">
      <c r="F25" s="6"/>
    </row>
    <row r="26" spans="1:7" x14ac:dyDescent="0.2">
      <c r="F26" s="9"/>
    </row>
    <row r="27" spans="1:7" x14ac:dyDescent="0.2">
      <c r="F27" s="6"/>
    </row>
    <row r="28" spans="1:7" x14ac:dyDescent="0.2">
      <c r="F28" s="9"/>
    </row>
    <row r="29" spans="1:7" x14ac:dyDescent="0.2">
      <c r="F29" s="6"/>
    </row>
    <row r="30" spans="1:7" x14ac:dyDescent="0.2">
      <c r="F30" s="9"/>
    </row>
    <row r="31" spans="1:7" x14ac:dyDescent="0.2">
      <c r="F31" s="6"/>
    </row>
    <row r="32" spans="1:7" x14ac:dyDescent="0.2">
      <c r="F32" s="9"/>
    </row>
    <row r="33" spans="3:7" ht="17" x14ac:dyDescent="0.25">
      <c r="F33" s="6"/>
      <c r="G33" s="13"/>
    </row>
    <row r="34" spans="3:7" x14ac:dyDescent="0.2">
      <c r="F34" s="6"/>
    </row>
    <row r="35" spans="3:7" x14ac:dyDescent="0.2">
      <c r="F35" s="9"/>
    </row>
    <row r="36" spans="3:7" x14ac:dyDescent="0.2">
      <c r="F36" s="6"/>
    </row>
    <row r="37" spans="3:7" x14ac:dyDescent="0.2">
      <c r="F37" s="9"/>
    </row>
    <row r="38" spans="3:7" x14ac:dyDescent="0.2">
      <c r="F38" s="6"/>
    </row>
    <row r="39" spans="3:7" ht="17" x14ac:dyDescent="0.25">
      <c r="C39" s="13"/>
      <c r="F3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E287-5689-F049-818F-99581ACE91B0}">
  <dimension ref="A1:J32"/>
  <sheetViews>
    <sheetView topLeftCell="A9" workbookViewId="0">
      <selection activeCell="B28" sqref="B28"/>
    </sheetView>
  </sheetViews>
  <sheetFormatPr baseColWidth="10" defaultRowHeight="16" x14ac:dyDescent="0.2"/>
  <cols>
    <col min="1" max="1" width="28.6640625" customWidth="1"/>
    <col min="2" max="4" width="21.83203125" customWidth="1"/>
    <col min="5" max="6" width="22" customWidth="1"/>
  </cols>
  <sheetData>
    <row r="1" spans="1:6" ht="18" x14ac:dyDescent="0.2">
      <c r="A1" s="17" t="s">
        <v>87</v>
      </c>
      <c r="B1" s="17" t="s">
        <v>22</v>
      </c>
      <c r="C1" s="17" t="s">
        <v>21</v>
      </c>
      <c r="D1" s="17" t="s">
        <v>20</v>
      </c>
      <c r="E1" s="17" t="s">
        <v>19</v>
      </c>
      <c r="F1" s="17" t="s">
        <v>18</v>
      </c>
    </row>
    <row r="2" spans="1:6" ht="18" x14ac:dyDescent="0.2">
      <c r="A2" s="18"/>
      <c r="B2" s="18"/>
      <c r="C2" s="18"/>
      <c r="D2" s="18"/>
      <c r="E2" s="18"/>
      <c r="F2" s="18"/>
    </row>
    <row r="3" spans="1:6" x14ac:dyDescent="0.2">
      <c r="A3" s="9" t="s">
        <v>88</v>
      </c>
      <c r="B3" s="6"/>
      <c r="C3" s="6"/>
      <c r="D3" s="6"/>
      <c r="E3" s="6"/>
      <c r="F3" s="6"/>
    </row>
    <row r="4" spans="1:6" x14ac:dyDescent="0.2">
      <c r="A4" s="6" t="s">
        <v>89</v>
      </c>
      <c r="B4" s="6">
        <f>'Income Statement'!B8</f>
        <v>220</v>
      </c>
      <c r="C4" s="6">
        <f>'Income Statement'!C8</f>
        <v>242</v>
      </c>
      <c r="D4" s="6">
        <f>'Income Statement'!D8</f>
        <v>266.2</v>
      </c>
      <c r="E4" s="6">
        <f>'Income Statement'!E8</f>
        <v>292.82000000000005</v>
      </c>
      <c r="F4" s="6">
        <f>'Income Statement'!F8</f>
        <v>322.10200000000009</v>
      </c>
    </row>
    <row r="5" spans="1:6" ht="17" x14ac:dyDescent="0.25">
      <c r="A5" s="6" t="s">
        <v>90</v>
      </c>
      <c r="B5" s="14">
        <f>B4*Assumptions!$F$12</f>
        <v>55</v>
      </c>
      <c r="C5" s="6">
        <f>C4*Assumptions!$B$12</f>
        <v>60.5</v>
      </c>
      <c r="D5" s="6">
        <f>D4*Assumptions!$B$12</f>
        <v>66.55</v>
      </c>
      <c r="E5" s="6">
        <f>E4*Assumptions!$B$12</f>
        <v>73.205000000000013</v>
      </c>
      <c r="F5" s="6">
        <f>F4*Assumptions!$B$12</f>
        <v>80.525500000000022</v>
      </c>
    </row>
    <row r="6" spans="1:6" x14ac:dyDescent="0.2">
      <c r="A6" s="6" t="s">
        <v>91</v>
      </c>
      <c r="B6" s="6">
        <f>B4-B5</f>
        <v>165</v>
      </c>
      <c r="C6" s="6">
        <f>C4-C5</f>
        <v>181.5</v>
      </c>
      <c r="D6" s="6">
        <f>D4-D5</f>
        <v>199.64999999999998</v>
      </c>
      <c r="E6" s="6">
        <f>E4-E5</f>
        <v>219.61500000000004</v>
      </c>
      <c r="F6" s="6">
        <f>F4-F5</f>
        <v>241.57650000000007</v>
      </c>
    </row>
    <row r="7" spans="1:6" x14ac:dyDescent="0.2">
      <c r="A7" s="6" t="s">
        <v>72</v>
      </c>
      <c r="B7" s="6">
        <f>Assumptions!$B$26</f>
        <v>40</v>
      </c>
      <c r="C7" s="6">
        <f>Assumptions!$B$26</f>
        <v>40</v>
      </c>
      <c r="D7" s="6">
        <f>Assumptions!$B$26</f>
        <v>40</v>
      </c>
      <c r="E7" s="6">
        <f>Assumptions!$B$26</f>
        <v>40</v>
      </c>
      <c r="F7" s="6">
        <f>Assumptions!$B$26</f>
        <v>40</v>
      </c>
    </row>
    <row r="8" spans="1:6" x14ac:dyDescent="0.2">
      <c r="A8" s="6" t="s">
        <v>92</v>
      </c>
      <c r="B8" s="6">
        <f>-Assumptions!$B$25</f>
        <v>-50</v>
      </c>
      <c r="C8" s="6">
        <f>-Assumptions!$B$25</f>
        <v>-50</v>
      </c>
      <c r="D8" s="6">
        <f>-Assumptions!$B$25</f>
        <v>-50</v>
      </c>
      <c r="E8" s="6">
        <f>-Assumptions!$B$25</f>
        <v>-50</v>
      </c>
      <c r="F8" s="6">
        <f>-Assumptions!$B$25</f>
        <v>-50</v>
      </c>
    </row>
    <row r="9" spans="1:6" x14ac:dyDescent="0.2">
      <c r="A9" s="6" t="s">
        <v>93</v>
      </c>
      <c r="B9" s="6">
        <f>-(('Balance Sheet'!C5-'Balance Sheet'!B5)+('Balance Sheet'!C6-'Balance Sheet'!B6)-('Balance Sheet'!C16-'Balance Sheet'!B16))</f>
        <v>-134.19999999999999</v>
      </c>
      <c r="C9" s="6">
        <f>-(('Balance Sheet'!D5-'Balance Sheet'!C5)+('Balance Sheet'!D6-'Balance Sheet'!C6)-('Balance Sheet'!D16-'Balance Sheet'!C16))</f>
        <v>-13.419999999999995</v>
      </c>
      <c r="D9" s="6">
        <f>-(('Balance Sheet'!E5-'Balance Sheet'!D5)+('Balance Sheet'!E6-'Balance Sheet'!D6)-('Balance Sheet'!E16-'Balance Sheet'!D16))</f>
        <v>-14.762</v>
      </c>
      <c r="E9" s="6">
        <f>-(('Balance Sheet'!F5-'Balance Sheet'!E5)+('Balance Sheet'!F6-'Balance Sheet'!E6)-('Balance Sheet'!F16-'Balance Sheet'!E16))</f>
        <v>-16.23820000000002</v>
      </c>
      <c r="F9" s="6">
        <f>-(('Balance Sheet'!G5-'Balance Sheet'!F5)+('Balance Sheet'!G6-'Balance Sheet'!F6)-('Balance Sheet'!G16-'Balance Sheet'!F16))</f>
        <v>-17.862020000000015</v>
      </c>
    </row>
    <row r="10" spans="1:6" x14ac:dyDescent="0.2">
      <c r="A10" s="9" t="s">
        <v>94</v>
      </c>
      <c r="B10" s="6">
        <f>B6+B7+B8+B9</f>
        <v>20.800000000000011</v>
      </c>
      <c r="C10" s="6">
        <f>C6+C7+C8+C9</f>
        <v>158.08000000000001</v>
      </c>
      <c r="D10" s="6">
        <f>D6+D7+D8+D9</f>
        <v>174.88799999999998</v>
      </c>
      <c r="E10" s="6">
        <f>E6+E7+E8+E9</f>
        <v>193.3768</v>
      </c>
      <c r="F10" s="6">
        <f>F6+F7+F8+F9</f>
        <v>213.71448000000004</v>
      </c>
    </row>
    <row r="11" spans="1:6" x14ac:dyDescent="0.2">
      <c r="A11" s="6"/>
      <c r="B11" s="6"/>
      <c r="C11" s="6"/>
      <c r="D11" s="6"/>
      <c r="E11" s="6"/>
      <c r="F11" s="6"/>
    </row>
    <row r="12" spans="1:6" x14ac:dyDescent="0.2">
      <c r="A12" s="9" t="s">
        <v>95</v>
      </c>
      <c r="B12" s="6"/>
      <c r="C12" s="6"/>
      <c r="D12" s="6"/>
      <c r="E12" s="6"/>
      <c r="F12" s="6"/>
    </row>
    <row r="13" spans="1:6" x14ac:dyDescent="0.2">
      <c r="A13" s="6" t="s">
        <v>13</v>
      </c>
      <c r="B13" s="1">
        <f>Assumptions!$F$15</f>
        <v>0.1</v>
      </c>
      <c r="C13" s="1">
        <f>Assumptions!$F$15</f>
        <v>0.1</v>
      </c>
      <c r="D13" s="1">
        <f>Assumptions!$F$15</f>
        <v>0.1</v>
      </c>
      <c r="E13" s="1">
        <f>Assumptions!$F$15</f>
        <v>0.1</v>
      </c>
      <c r="F13" s="1">
        <f>Assumptions!$F$15</f>
        <v>0.1</v>
      </c>
    </row>
    <row r="14" spans="1:6" x14ac:dyDescent="0.2">
      <c r="A14" s="6" t="s">
        <v>96</v>
      </c>
      <c r="B14" s="6">
        <v>1</v>
      </c>
      <c r="C14" s="6">
        <v>2</v>
      </c>
      <c r="D14" s="6">
        <v>3</v>
      </c>
      <c r="E14" s="6">
        <v>4</v>
      </c>
      <c r="F14" s="6">
        <v>5</v>
      </c>
    </row>
    <row r="15" spans="1:6" x14ac:dyDescent="0.2">
      <c r="A15" s="6" t="s">
        <v>97</v>
      </c>
      <c r="B15" s="6">
        <f>1/(1+B13)^B14</f>
        <v>0.90909090909090906</v>
      </c>
      <c r="C15" s="6">
        <f>1/(1+C13)^C14</f>
        <v>0.82644628099173545</v>
      </c>
      <c r="D15" s="6">
        <f>1/(1+D13)^D14</f>
        <v>0.75131480090157754</v>
      </c>
      <c r="E15" s="6">
        <f>1/(1+E13)^E14</f>
        <v>0.68301345536507052</v>
      </c>
      <c r="F15" s="6">
        <f>1/(1+F13)^F14</f>
        <v>0.62092132305915493</v>
      </c>
    </row>
    <row r="16" spans="1:6" x14ac:dyDescent="0.2">
      <c r="A16" s="9" t="s">
        <v>98</v>
      </c>
      <c r="B16" s="6">
        <f>B10*B15</f>
        <v>18.909090909090917</v>
      </c>
      <c r="C16" s="6">
        <f>C10*C15</f>
        <v>130.64462809917356</v>
      </c>
      <c r="D16" s="6">
        <f>D10*D15</f>
        <v>131.39594290007508</v>
      </c>
      <c r="E16" s="6">
        <f>E10*E15</f>
        <v>132.07895635544017</v>
      </c>
      <c r="F16" s="6">
        <f>F10*F15</f>
        <v>132.69987767849932</v>
      </c>
    </row>
    <row r="17" spans="1:10" x14ac:dyDescent="0.2">
      <c r="A17" s="6"/>
      <c r="B17" s="6"/>
      <c r="C17" s="6"/>
      <c r="D17" s="6"/>
      <c r="E17" s="6"/>
      <c r="F17" s="6"/>
    </row>
    <row r="18" spans="1:10" x14ac:dyDescent="0.2">
      <c r="A18" s="9" t="s">
        <v>99</v>
      </c>
      <c r="B18" s="6"/>
      <c r="C18" s="6"/>
      <c r="D18" s="6"/>
      <c r="E18" s="6"/>
      <c r="F18" s="6"/>
    </row>
    <row r="19" spans="1:10" ht="17" x14ac:dyDescent="0.25">
      <c r="A19" s="6" t="s">
        <v>14</v>
      </c>
      <c r="B19" s="14">
        <f>Assumptions!$F$16</f>
        <v>0.03</v>
      </c>
      <c r="C19" s="9"/>
      <c r="D19" s="6"/>
      <c r="E19" s="6"/>
      <c r="F19" s="6"/>
    </row>
    <row r="20" spans="1:10" x14ac:dyDescent="0.2">
      <c r="A20" s="6" t="s">
        <v>99</v>
      </c>
      <c r="B20" s="6">
        <f>F10*(1+$B$19)/($B$13-$B$19)</f>
        <v>3144.6559200000006</v>
      </c>
      <c r="C20" s="6"/>
      <c r="D20" s="10"/>
      <c r="E20" s="10"/>
      <c r="F20" s="10"/>
      <c r="G20" s="20"/>
    </row>
    <row r="21" spans="1:10" x14ac:dyDescent="0.2">
      <c r="A21" s="6" t="s">
        <v>100</v>
      </c>
      <c r="B21" s="6">
        <f>B20*F15</f>
        <v>1952.5839144122044</v>
      </c>
      <c r="C21" s="6"/>
      <c r="D21" s="6"/>
      <c r="E21" s="6"/>
      <c r="F21" s="6"/>
    </row>
    <row r="22" spans="1:10" ht="17" x14ac:dyDescent="0.25">
      <c r="A22" s="6"/>
      <c r="B22" s="6"/>
      <c r="C22" s="6"/>
      <c r="D22" s="1"/>
      <c r="E22" s="6"/>
      <c r="F22" s="6"/>
      <c r="G22" s="13"/>
    </row>
    <row r="23" spans="1:10" ht="18" x14ac:dyDescent="0.25">
      <c r="A23" s="9" t="s">
        <v>101</v>
      </c>
      <c r="B23" s="9"/>
      <c r="C23" s="6"/>
      <c r="D23" s="6"/>
      <c r="E23" s="6"/>
      <c r="F23" s="6"/>
      <c r="G23" s="13"/>
      <c r="H23" s="17"/>
      <c r="I23" s="17"/>
      <c r="J23" s="17"/>
    </row>
    <row r="24" spans="1:10" ht="18" x14ac:dyDescent="0.2">
      <c r="A24" s="6" t="s">
        <v>102</v>
      </c>
      <c r="B24" s="6">
        <f>SUM($B$16:$F$16)</f>
        <v>545.72849594227898</v>
      </c>
      <c r="C24" s="9"/>
      <c r="D24" s="9"/>
      <c r="E24" s="22"/>
      <c r="F24" s="22"/>
      <c r="G24" s="18"/>
      <c r="H24" s="18"/>
      <c r="I24" s="18"/>
      <c r="J24" s="18"/>
    </row>
    <row r="25" spans="1:10" x14ac:dyDescent="0.2">
      <c r="A25" s="6" t="s">
        <v>100</v>
      </c>
      <c r="B25" s="6">
        <f>$B$21</f>
        <v>1952.5839144122044</v>
      </c>
      <c r="C25" s="6"/>
      <c r="D25" s="6"/>
      <c r="E25" s="9"/>
      <c r="F25" s="6"/>
    </row>
    <row r="26" spans="1:10" ht="17" x14ac:dyDescent="0.25">
      <c r="A26" s="9" t="s">
        <v>103</v>
      </c>
      <c r="B26" s="6">
        <f>B24+B25</f>
        <v>2498.3124103544833</v>
      </c>
      <c r="C26" s="6"/>
      <c r="D26" s="6"/>
      <c r="E26" s="6"/>
      <c r="F26" s="6"/>
      <c r="G26" s="13"/>
      <c r="H26" s="13"/>
      <c r="I26" s="13"/>
      <c r="J26" s="13"/>
    </row>
    <row r="27" spans="1:10" x14ac:dyDescent="0.2">
      <c r="A27" s="6" t="s">
        <v>104</v>
      </c>
      <c r="B27" s="6">
        <f>-('Balance Sheet'!$G$17+'Balance Sheet'!$G$20)</f>
        <v>-250</v>
      </c>
      <c r="C27" s="9"/>
      <c r="D27" s="6"/>
      <c r="E27" s="6"/>
      <c r="F27" s="6"/>
    </row>
    <row r="28" spans="1:10" ht="17" x14ac:dyDescent="0.25">
      <c r="A28" s="6" t="s">
        <v>105</v>
      </c>
      <c r="B28" s="6">
        <f>'Balance Sheet'!$G$4</f>
        <v>860.85928000000024</v>
      </c>
      <c r="C28" s="6"/>
      <c r="D28" s="6"/>
      <c r="E28" s="6"/>
      <c r="F28" s="6"/>
      <c r="G28" s="13"/>
      <c r="H28" s="13"/>
      <c r="I28" s="13"/>
      <c r="J28" s="13"/>
    </row>
    <row r="29" spans="1:10" ht="17" x14ac:dyDescent="0.25">
      <c r="A29" s="9" t="s">
        <v>106</v>
      </c>
      <c r="B29" s="6">
        <f>B26+B27+B28</f>
        <v>3109.1716903544834</v>
      </c>
      <c r="C29" s="6"/>
      <c r="D29" s="6"/>
      <c r="E29" s="6"/>
      <c r="F29" s="6"/>
      <c r="G29" s="13"/>
      <c r="H29" s="13"/>
      <c r="I29" s="13"/>
      <c r="J29" s="13"/>
    </row>
    <row r="30" spans="1:10" ht="17" x14ac:dyDescent="0.25">
      <c r="A30" s="7"/>
      <c r="B30" s="7"/>
      <c r="C30" s="9"/>
      <c r="D30" s="7"/>
      <c r="E30" s="6"/>
      <c r="F30" s="16"/>
      <c r="G30" s="13"/>
      <c r="H30" s="13"/>
      <c r="I30" s="13"/>
      <c r="J30" s="13"/>
    </row>
    <row r="31" spans="1:10" x14ac:dyDescent="0.2">
      <c r="E31" s="6"/>
    </row>
    <row r="32" spans="1:10" ht="17" x14ac:dyDescent="0.25">
      <c r="E32" s="9"/>
      <c r="F32" s="13"/>
      <c r="G32" s="13"/>
      <c r="H32" s="13"/>
      <c r="I32" s="13"/>
      <c r="J32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F8EF-81C8-D941-BF8A-6BEB46E768AD}">
  <dimension ref="A1:F24"/>
  <sheetViews>
    <sheetView workbookViewId="0"/>
  </sheetViews>
  <sheetFormatPr baseColWidth="10" defaultRowHeight="16" x14ac:dyDescent="0.2"/>
  <cols>
    <col min="1" max="1" width="26.1640625" customWidth="1"/>
    <col min="2" max="3" width="22" customWidth="1"/>
    <col min="4" max="5" width="21.83203125" customWidth="1"/>
    <col min="6" max="6" width="22" customWidth="1"/>
  </cols>
  <sheetData>
    <row r="1" spans="1:6" ht="18" x14ac:dyDescent="0.2">
      <c r="A1" s="12" t="s">
        <v>107</v>
      </c>
      <c r="B1" s="17" t="s">
        <v>22</v>
      </c>
      <c r="C1" s="17" t="s">
        <v>21</v>
      </c>
      <c r="D1" s="17" t="s">
        <v>20</v>
      </c>
      <c r="E1" s="17" t="s">
        <v>19</v>
      </c>
      <c r="F1" s="17" t="s">
        <v>18</v>
      </c>
    </row>
    <row r="2" spans="1:6" x14ac:dyDescent="0.2">
      <c r="A2" s="8"/>
      <c r="B2" s="8"/>
      <c r="C2" s="8"/>
      <c r="D2" s="8"/>
      <c r="E2" s="8"/>
      <c r="F2" s="8"/>
    </row>
    <row r="3" spans="1:6" x14ac:dyDescent="0.2">
      <c r="A3" s="9" t="s">
        <v>108</v>
      </c>
      <c r="B3" s="19"/>
      <c r="C3" s="19"/>
      <c r="D3" s="19"/>
      <c r="E3" s="19"/>
      <c r="F3" s="19"/>
    </row>
    <row r="4" spans="1:6" x14ac:dyDescent="0.2">
      <c r="A4" s="6" t="s">
        <v>109</v>
      </c>
      <c r="B4" s="6">
        <f>'Income Statement'!B5/'Income Statement'!B3</f>
        <v>0.4</v>
      </c>
      <c r="C4" s="6">
        <f>'Income Statement'!C5/'Income Statement'!C3</f>
        <v>0.4</v>
      </c>
      <c r="D4" s="6">
        <f>'Income Statement'!D5/'Income Statement'!D3</f>
        <v>0.39999999999999997</v>
      </c>
      <c r="E4" s="6">
        <f>'Income Statement'!E5/'Income Statement'!E3</f>
        <v>0.4</v>
      </c>
      <c r="F4" s="6">
        <f>'Income Statement'!F5/'Income Statement'!F3</f>
        <v>0.40000000000000008</v>
      </c>
    </row>
    <row r="5" spans="1:6" x14ac:dyDescent="0.2">
      <c r="A5" s="6" t="s">
        <v>110</v>
      </c>
      <c r="B5" s="6">
        <f>'Income Statement'!B8/'Income Statement'!B3</f>
        <v>0.2</v>
      </c>
      <c r="C5" s="6">
        <f>'Income Statement'!C8/'Income Statement'!C3</f>
        <v>0.2</v>
      </c>
      <c r="D5" s="6">
        <f>'Income Statement'!D8/'Income Statement'!D3</f>
        <v>0.19999999999999998</v>
      </c>
      <c r="E5" s="6">
        <f>'Income Statement'!E8/'Income Statement'!E3</f>
        <v>0.2</v>
      </c>
      <c r="F5" s="6">
        <f>'Income Statement'!F8/'Income Statement'!F3</f>
        <v>0.20000000000000004</v>
      </c>
    </row>
    <row r="6" spans="1:6" x14ac:dyDescent="0.2">
      <c r="A6" s="6" t="s">
        <v>111</v>
      </c>
      <c r="B6" s="6">
        <f>'Income Statement'!B14/'Income Statement'!B3</f>
        <v>0.15</v>
      </c>
      <c r="C6" s="6">
        <f>'Income Statement'!C14/'Income Statement'!C3</f>
        <v>0.15</v>
      </c>
      <c r="D6" s="6">
        <f>'Income Statement'!D14/'Income Statement'!D3</f>
        <v>0.15</v>
      </c>
      <c r="E6" s="6">
        <f>'Income Statement'!E14/'Income Statement'!E3</f>
        <v>0.15000000000000002</v>
      </c>
      <c r="F6" s="6">
        <f>'Income Statement'!F14/'Income Statement'!F3</f>
        <v>0.15000000000000002</v>
      </c>
    </row>
    <row r="7" spans="1:6" x14ac:dyDescent="0.2">
      <c r="A7" s="6"/>
      <c r="B7" s="6"/>
      <c r="C7" s="6"/>
      <c r="D7" s="6"/>
      <c r="E7" s="6"/>
      <c r="F7" s="6"/>
    </row>
    <row r="8" spans="1:6" x14ac:dyDescent="0.2">
      <c r="A8" s="9" t="s">
        <v>112</v>
      </c>
      <c r="B8" s="6"/>
      <c r="C8" s="6"/>
      <c r="D8" s="6"/>
      <c r="E8" s="6"/>
      <c r="F8" s="6"/>
    </row>
    <row r="9" spans="1:6" x14ac:dyDescent="0.2">
      <c r="A9" s="6" t="s">
        <v>113</v>
      </c>
      <c r="B9" s="6">
        <f>'Balance Sheet'!C7/'Balance Sheet'!C18</f>
        <v>2.9941634241245132</v>
      </c>
      <c r="C9" s="6">
        <f>'Balance Sheet'!D7/'Balance Sheet'!D18</f>
        <v>4.4835307179866764</v>
      </c>
      <c r="D9" s="6">
        <f>'Balance Sheet'!E7/'Balance Sheet'!E18</f>
        <v>5.9711119696543964</v>
      </c>
      <c r="E9" s="6">
        <f>'Balance Sheet'!F7/'Balance Sheet'!F18</f>
        <v>7.449830723797108</v>
      </c>
      <c r="F9" s="6">
        <f>'Balance Sheet'!G7/'Balance Sheet'!G18</f>
        <v>8.9128519279133016</v>
      </c>
    </row>
    <row r="10" spans="1:6" x14ac:dyDescent="0.2">
      <c r="A10" s="6"/>
      <c r="B10" s="6"/>
      <c r="C10" s="6"/>
      <c r="D10" s="6"/>
      <c r="E10" s="6"/>
      <c r="F10" s="6"/>
    </row>
    <row r="11" spans="1:6" x14ac:dyDescent="0.2">
      <c r="A11" s="9" t="s">
        <v>114</v>
      </c>
      <c r="B11" s="6"/>
      <c r="C11" s="6"/>
      <c r="D11" s="6"/>
      <c r="E11" s="6"/>
      <c r="F11" s="6"/>
    </row>
    <row r="12" spans="1:6" x14ac:dyDescent="0.2">
      <c r="A12" s="6" t="s">
        <v>115</v>
      </c>
      <c r="B12" s="6">
        <f>('Balance Sheet'!C17+'Balance Sheet'!C20)/'Balance Sheet'!C25</f>
        <v>0.4854368932038835</v>
      </c>
      <c r="C12" s="6">
        <f>('Balance Sheet'!D17+'Balance Sheet'!D20)/'Balance Sheet'!D25</f>
        <v>0.35893754486719309</v>
      </c>
      <c r="D12" s="6">
        <f>('Balance Sheet'!E17+'Balance Sheet'!E20)/'Balance Sheet'!E25</f>
        <v>0.27897115438263687</v>
      </c>
      <c r="E12" s="6">
        <f>('Balance Sheet'!F17+'Balance Sheet'!F20)/'Balance Sheet'!F25</f>
        <v>0.2240615183304728</v>
      </c>
      <c r="F12" s="6">
        <f>('Balance Sheet'!G17+'Balance Sheet'!G20)/'Balance Sheet'!G25</f>
        <v>0.18418356765780752</v>
      </c>
    </row>
    <row r="13" spans="1:6" x14ac:dyDescent="0.2">
      <c r="A13" s="6" t="s">
        <v>116</v>
      </c>
      <c r="B13" s="6">
        <f>('Balance Sheet'!C17+'Balance Sheet'!C20)/'Balance Sheet'!C13</f>
        <v>0.30569821472242603</v>
      </c>
      <c r="C13" s="6">
        <f>('Balance Sheet'!D17+'Balance Sheet'!D20)/'Balance Sheet'!D13</f>
        <v>0.24886022019152285</v>
      </c>
      <c r="D13" s="6">
        <f>('Balance Sheet'!E17+'Balance Sheet'!E20)/'Balance Sheet'!E13</f>
        <v>0.2066050818238766</v>
      </c>
      <c r="E13" s="6">
        <f>('Balance Sheet'!F17+'Balance Sheet'!F20)/'Balance Sheet'!F13</f>
        <v>0.17408964000908608</v>
      </c>
      <c r="F13" s="6">
        <f>('Balance Sheet'!G17+'Balance Sheet'!G20)/'Balance Sheet'!G13</f>
        <v>0.14839913131184984</v>
      </c>
    </row>
    <row r="14" spans="1:6" x14ac:dyDescent="0.2">
      <c r="A14" s="6"/>
      <c r="B14" s="6"/>
      <c r="C14" s="6"/>
      <c r="D14" s="6"/>
      <c r="E14" s="6"/>
      <c r="F14" s="6"/>
    </row>
    <row r="15" spans="1:6" x14ac:dyDescent="0.2">
      <c r="A15" s="9" t="s">
        <v>119</v>
      </c>
      <c r="B15" s="6"/>
      <c r="C15" s="6"/>
      <c r="D15" s="6"/>
      <c r="E15" s="6"/>
      <c r="F15" s="6"/>
    </row>
    <row r="16" spans="1:6" x14ac:dyDescent="0.2">
      <c r="A16" s="6" t="s">
        <v>118</v>
      </c>
      <c r="B16" s="6">
        <f>'Income Statement'!B14/'Balance Sheet'!C13</f>
        <v>0.20176082171680118</v>
      </c>
      <c r="C16" s="6">
        <f>'Income Statement'!C14/'Balance Sheet'!D13</f>
        <v>0.18067251985904559</v>
      </c>
      <c r="D16" s="6">
        <f>'Income Statement'!D14/'Balance Sheet'!E13</f>
        <v>0.16499481834454785</v>
      </c>
      <c r="E16" s="6">
        <f>'Income Statement'!E14/'Balance Sheet'!F13</f>
        <v>0.15293078516238179</v>
      </c>
      <c r="F16" s="6">
        <f>'Income Statement'!F14/'Balance Sheet'!G13</f>
        <v>0.14339897098142843</v>
      </c>
    </row>
    <row r="17" spans="1:6" x14ac:dyDescent="0.2">
      <c r="A17" s="6" t="s">
        <v>117</v>
      </c>
      <c r="B17" s="6">
        <f>'Income Statement'!B14/'Balance Sheet'!C25</f>
        <v>0.32038834951456313</v>
      </c>
      <c r="C17" s="6">
        <f>'Income Statement'!C14/'Balance Sheet'!D25</f>
        <v>0.26058865757358218</v>
      </c>
      <c r="D17" s="6">
        <f>'Income Statement'!D14/'Balance Sheet'!E25</f>
        <v>0.22278636388997375</v>
      </c>
      <c r="E17" s="6">
        <f>'Income Statement'!E14/'Balance Sheet'!F25</f>
        <v>0.19682908139258717</v>
      </c>
      <c r="F17" s="6">
        <f>'Income Statement'!F14/'Balance Sheet'!G25</f>
        <v>0.17797768652914542</v>
      </c>
    </row>
    <row r="18" spans="1:6" x14ac:dyDescent="0.2">
      <c r="A18" s="6"/>
      <c r="B18" s="19"/>
      <c r="C18" s="19"/>
      <c r="D18" s="19"/>
      <c r="E18" s="19"/>
      <c r="F18" s="19"/>
    </row>
    <row r="19" spans="1:6" x14ac:dyDescent="0.2">
      <c r="A19" s="19"/>
      <c r="B19" s="19"/>
      <c r="C19" s="19"/>
      <c r="D19" s="6"/>
      <c r="E19" s="6"/>
      <c r="F19" s="19"/>
    </row>
    <row r="20" spans="1:6" x14ac:dyDescent="0.2">
      <c r="A20" s="19"/>
      <c r="B20" s="19"/>
      <c r="C20" s="19"/>
      <c r="D20" s="6"/>
      <c r="E20" s="6"/>
      <c r="F20" s="19"/>
    </row>
    <row r="21" spans="1:6" x14ac:dyDescent="0.2">
      <c r="A21" s="24"/>
      <c r="B21" s="24"/>
      <c r="C21" s="24"/>
      <c r="D21" s="6"/>
      <c r="E21" s="2"/>
      <c r="F21" s="24"/>
    </row>
    <row r="22" spans="1:6" x14ac:dyDescent="0.2">
      <c r="A22" s="24"/>
      <c r="B22" s="24"/>
      <c r="C22" s="24"/>
      <c r="D22" s="9"/>
      <c r="E22" s="2"/>
      <c r="F22" s="24"/>
    </row>
    <row r="23" spans="1:6" x14ac:dyDescent="0.2">
      <c r="D23" s="6"/>
      <c r="E23" s="1"/>
    </row>
    <row r="24" spans="1:6" x14ac:dyDescent="0.2">
      <c r="D24" s="6"/>
      <c r="E2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E3AC-8B36-794E-AB58-D8A65FBC50AF}">
  <dimension ref="A1:D16"/>
  <sheetViews>
    <sheetView workbookViewId="0">
      <selection sqref="A1:D17"/>
    </sheetView>
  </sheetViews>
  <sheetFormatPr baseColWidth="10" defaultRowHeight="16" x14ac:dyDescent="0.2"/>
  <cols>
    <col min="1" max="1" width="32.5" customWidth="1"/>
    <col min="2" max="2" width="22" customWidth="1"/>
    <col min="3" max="3" width="22.1640625" customWidth="1"/>
    <col min="4" max="4" width="22" customWidth="1"/>
  </cols>
  <sheetData>
    <row r="1" spans="1:4" ht="18" x14ac:dyDescent="0.2">
      <c r="A1" s="12" t="s">
        <v>122</v>
      </c>
    </row>
    <row r="3" spans="1:4" x14ac:dyDescent="0.2">
      <c r="A3" s="23" t="s">
        <v>123</v>
      </c>
      <c r="B3" s="23" t="s">
        <v>0</v>
      </c>
      <c r="C3" s="23" t="s">
        <v>1</v>
      </c>
      <c r="D3" s="23" t="s">
        <v>2</v>
      </c>
    </row>
    <row r="5" spans="1:4" x14ac:dyDescent="0.2">
      <c r="A5" s="9" t="s">
        <v>124</v>
      </c>
    </row>
    <row r="6" spans="1:4" x14ac:dyDescent="0.2">
      <c r="A6" s="6" t="s">
        <v>7</v>
      </c>
      <c r="B6" s="20">
        <f>Assumptions!B7</f>
        <v>0.1</v>
      </c>
      <c r="C6" s="20">
        <f>Assumptions!C7</f>
        <v>0.15</v>
      </c>
      <c r="D6" s="20">
        <f>Assumptions!D7</f>
        <v>0.05</v>
      </c>
    </row>
    <row r="7" spans="1:4" x14ac:dyDescent="0.2">
      <c r="A7" s="6" t="s">
        <v>9</v>
      </c>
      <c r="B7" s="20">
        <f>Assumptions!B10</f>
        <v>0.6</v>
      </c>
      <c r="C7" s="20">
        <f>Assumptions!C10</f>
        <v>0.55000000000000004</v>
      </c>
      <c r="D7" s="20">
        <f>Assumptions!D10</f>
        <v>0.65</v>
      </c>
    </row>
    <row r="8" spans="1:4" ht="17" x14ac:dyDescent="0.25">
      <c r="A8" s="6" t="s">
        <v>10</v>
      </c>
      <c r="B8" s="21">
        <f>Assumptions!B11</f>
        <v>0.2</v>
      </c>
      <c r="C8" s="21">
        <f>Assumptions!C11</f>
        <v>0.18</v>
      </c>
      <c r="D8" s="21">
        <f>Assumptions!D11</f>
        <v>0.23</v>
      </c>
    </row>
    <row r="9" spans="1:4" ht="17" x14ac:dyDescent="0.25">
      <c r="A9" s="6" t="s">
        <v>13</v>
      </c>
      <c r="B9" s="21">
        <f>Assumptions!B15</f>
        <v>0.1</v>
      </c>
      <c r="C9" s="21">
        <f>Assumptions!C15</f>
        <v>0.08</v>
      </c>
      <c r="D9" s="21">
        <f>Assumptions!D15</f>
        <v>0.12</v>
      </c>
    </row>
    <row r="10" spans="1:4" x14ac:dyDescent="0.2">
      <c r="A10" s="6" t="s">
        <v>14</v>
      </c>
      <c r="B10" s="20">
        <f>Assumptions!B16</f>
        <v>0.03</v>
      </c>
      <c r="C10" s="20">
        <f>Assumptions!C16</f>
        <v>0.04</v>
      </c>
      <c r="D10" s="20">
        <f>Assumptions!D16</f>
        <v>0.02</v>
      </c>
    </row>
    <row r="11" spans="1:4" x14ac:dyDescent="0.2">
      <c r="A11" s="6"/>
      <c r="C11" s="20"/>
    </row>
    <row r="12" spans="1:4" x14ac:dyDescent="0.2">
      <c r="A12" s="9" t="s">
        <v>125</v>
      </c>
      <c r="C12" s="20"/>
    </row>
    <row r="13" spans="1:4" ht="17" x14ac:dyDescent="0.25">
      <c r="A13" s="6" t="s">
        <v>126</v>
      </c>
      <c r="B13" s="13">
        <f>'Income Statement'!$F$3</f>
        <v>1610.5100000000002</v>
      </c>
      <c r="C13" s="13">
        <f>'Income Statement'!$F$3</f>
        <v>1610.5100000000002</v>
      </c>
      <c r="D13" s="13">
        <f>'Income Statement'!$F$3</f>
        <v>1610.5100000000002</v>
      </c>
    </row>
    <row r="14" spans="1:4" x14ac:dyDescent="0.2">
      <c r="A14" s="6" t="s">
        <v>127</v>
      </c>
      <c r="B14">
        <f>'Income Statement'!$F$14</f>
        <v>241.57650000000007</v>
      </c>
      <c r="C14">
        <f>'Income Statement'!$F$14</f>
        <v>241.57650000000007</v>
      </c>
      <c r="D14">
        <f>'Income Statement'!$F$14</f>
        <v>241.57650000000007</v>
      </c>
    </row>
    <row r="15" spans="1:4" ht="17" x14ac:dyDescent="0.25">
      <c r="A15" s="6" t="s">
        <v>103</v>
      </c>
      <c r="B15" s="13">
        <f>'DCF Valuation'!$B$26</f>
        <v>2498.3124103544833</v>
      </c>
      <c r="C15" s="13">
        <f>'DCF Valuation'!$B$26</f>
        <v>2498.3124103544833</v>
      </c>
      <c r="D15" s="13">
        <f>'DCF Valuation'!$B$26</f>
        <v>2498.3124103544833</v>
      </c>
    </row>
    <row r="16" spans="1:4" x14ac:dyDescent="0.2">
      <c r="A16" s="6" t="s">
        <v>106</v>
      </c>
      <c r="B16">
        <f>'DCF Valuation'!$B$29</f>
        <v>3109.1716903544834</v>
      </c>
      <c r="C16">
        <f>'DCF Valuation'!$B$29</f>
        <v>3109.1716903544834</v>
      </c>
      <c r="D16">
        <f>'DCF Valuation'!$B$29</f>
        <v>3109.1716903544834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Income Statement</vt:lpstr>
      <vt:lpstr>Balance Sheet</vt:lpstr>
      <vt:lpstr>Cash Flow</vt:lpstr>
      <vt:lpstr>DCF Valuation</vt:lpstr>
      <vt:lpstr>Ratios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Thakkar, Jaikhush Himanshu</dc:creator>
  <cp:lastModifiedBy>Thakkar, Jaikhush Himanshu</cp:lastModifiedBy>
  <dcterms:created xsi:type="dcterms:W3CDTF">2026-01-12T18:38:14Z</dcterms:created>
  <dcterms:modified xsi:type="dcterms:W3CDTF">2026-01-13T22:05:27Z</dcterms:modified>
</cp:coreProperties>
</file>